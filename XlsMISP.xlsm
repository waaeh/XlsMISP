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480" yWindow="336" windowWidth="20736" windowHeight="9756" activeTab="1"/>
  </bookViews>
  <sheets>
    <sheet name="Overview" sheetId="2" r:id="rId1"/>
    <sheet name="About" sheetId="5" r:id="rId2"/>
    <sheet name="Template" sheetId="3" r:id="rId3"/>
    <sheet name="Create Event" sheetId="4" r:id="rId4"/>
  </sheets>
  <definedNames>
    <definedName name="_xlnm._FilterDatabase" localSheetId="3" hidden="1">'Create Event'!$B$11:$G$11</definedName>
    <definedName name="_xlnm._FilterDatabase" localSheetId="2" hidden="1">Template!$B$19:$I$19</definedName>
    <definedName name="AttributeHeaders" localSheetId="3">'Create Event'!$A$11:$G$11</definedName>
    <definedName name="AttributeHeaders">Template!$A$19:$I$19</definedName>
    <definedName name="dp_Analysis">About!$E$59:$E$61</definedName>
    <definedName name="dp_Distribution">About!$E$62:$E$65</definedName>
    <definedName name="dp_ThreatLevel">About!$E$55:$E$58</definedName>
    <definedName name="MispTagChoice">About!$C$71:$C$161</definedName>
    <definedName name="MispTagHeaders">About!$A$70:$B$70</definedName>
    <definedName name="Overview_headers">Overview!$A$1:$O$1</definedName>
  </definedNames>
  <calcPr calcId="145621" calcMode="manual"/>
</workbook>
</file>

<file path=xl/calcChain.xml><?xml version="1.0" encoding="utf-8"?>
<calcChain xmlns="http://schemas.openxmlformats.org/spreadsheetml/2006/main">
  <c r="E65" i="5" l="1"/>
  <c r="E64" i="5"/>
  <c r="E63" i="5"/>
  <c r="E62" i="5"/>
  <c r="E61" i="5"/>
  <c r="E60" i="5"/>
  <c r="E59" i="5"/>
  <c r="E58" i="5"/>
  <c r="E57" i="5"/>
  <c r="E56" i="5"/>
  <c r="E55" i="5"/>
  <c r="C21" i="5"/>
  <c r="B2" i="4"/>
  <c r="D10" i="3"/>
</calcChain>
</file>

<file path=xl/sharedStrings.xml><?xml version="1.0" encoding="utf-8"?>
<sst xmlns="http://schemas.openxmlformats.org/spreadsheetml/2006/main" count="217" uniqueCount="137">
  <si>
    <t>id</t>
  </si>
  <si>
    <t>uuid</t>
  </si>
  <si>
    <t>date</t>
  </si>
  <si>
    <t>info</t>
  </si>
  <si>
    <t>published</t>
  </si>
  <si>
    <t>attribute_count</t>
  </si>
  <si>
    <t>xl.ts(timestamp)</t>
  </si>
  <si>
    <t>Org.name</t>
  </si>
  <si>
    <t>analysis</t>
  </si>
  <si>
    <t>proposal_email_lock</t>
  </si>
  <si>
    <t>locked</t>
  </si>
  <si>
    <t>xl.ts(publish_timestamp)</t>
  </si>
  <si>
    <t>distribution</t>
  </si>
  <si>
    <t>threat_level_id</t>
  </si>
  <si>
    <t>xl.listrec(EventTag.Tag.name)</t>
  </si>
  <si>
    <t>0 = initial, 1 = ongoing, 2 = completed</t>
  </si>
  <si>
    <t>1 = This community only</t>
  </si>
  <si>
    <t>xl.listrec(RelatedEvent.Event.id)</t>
  </si>
  <si>
    <t>xl.list(Tag)</t>
  </si>
  <si>
    <t>Attrib type</t>
  </si>
  <si>
    <t>category</t>
  </si>
  <si>
    <t>type</t>
  </si>
  <si>
    <t>to_ids</t>
  </si>
  <si>
    <t>value</t>
  </si>
  <si>
    <t>comment</t>
  </si>
  <si>
    <t>[MALWARE] Spam Run ([DATE] - [Subject or other identification info])</t>
  </si>
  <si>
    <t>0 - Initial</t>
  </si>
  <si>
    <t>1 - This community only</t>
  </si>
  <si>
    <t>3 - Low</t>
  </si>
  <si>
    <t>Tag</t>
  </si>
  <si>
    <t>13 - tlp:green</t>
  </si>
  <si>
    <t>Payload delivery</t>
  </si>
  <si>
    <t>email-src</t>
  </si>
  <si>
    <t>Spamming address</t>
  </si>
  <si>
    <t>email-attachment</t>
  </si>
  <si>
    <t>email-body</t>
  </si>
  <si>
    <t>email-headers</t>
  </si>
  <si>
    <t>email-subject</t>
  </si>
  <si>
    <t>ip-src</t>
  </si>
  <si>
    <t>Spamming IP</t>
  </si>
  <si>
    <t>url</t>
  </si>
  <si>
    <t>Network activity</t>
  </si>
  <si>
    <t>ip-dst|port</t>
  </si>
  <si>
    <t>ip-dst</t>
  </si>
  <si>
    <t>External analysis</t>
  </si>
  <si>
    <t>link</t>
  </si>
  <si>
    <t>Other</t>
  </si>
  <si>
    <t>MISP settings</t>
  </si>
  <si>
    <t>Alias</t>
  </si>
  <si>
    <t>[UNUSED FOR NOW]</t>
  </si>
  <si>
    <t>Authorization</t>
  </si>
  <si>
    <t>[YOUR MISP API KEY]</t>
  </si>
  <si>
    <t>Url</t>
  </si>
  <si>
    <t>[URL OF YOUR MISP INSTANCE]</t>
  </si>
  <si>
    <t>My org name</t>
  </si>
  <si>
    <t>[YOUR MISP COMPANY NAME]</t>
  </si>
  <si>
    <t>Download last</t>
  </si>
  <si>
    <t>Web settings</t>
  </si>
  <si>
    <t>Use system proxy</t>
  </si>
  <si>
    <t>If true, all other proxy settings are ignored</t>
  </si>
  <si>
    <t>Proxy server</t>
  </si>
  <si>
    <t>http://localhost:8080</t>
  </si>
  <si>
    <t>Proxy username</t>
  </si>
  <si>
    <t>Proxy password</t>
  </si>
  <si>
    <t>Proxy bypass list</t>
  </si>
  <si>
    <t>User-agent</t>
  </si>
  <si>
    <t>Default is from vba-web (see variable WebUserAgent in WebHelper)</t>
  </si>
  <si>
    <t>Insecure SSL</t>
  </si>
  <si>
    <t>Ignore SSL certificate errors</t>
  </si>
  <si>
    <t>Web request timeout</t>
  </si>
  <si>
    <t>Enable logging</t>
  </si>
  <si>
    <t>Logs to the VBA immediate window</t>
  </si>
  <si>
    <t>Misc</t>
  </si>
  <si>
    <t>Timezone offset</t>
  </si>
  <si>
    <t>Disable Excel calc during updates</t>
  </si>
  <si>
    <t>Better performance if enabled, but you might have to restore the preferred calculation mode if a VBA error occurs</t>
  </si>
  <si>
    <t>Max blank lines to parse for new attribs</t>
  </si>
  <si>
    <t>When creating or adding attributes, you can keep blank lines to ease the creation. This number defines how many blank lines are parsed before XlsMISP considers that the list of attributes is over.</t>
  </si>
  <si>
    <t>Licence</t>
  </si>
  <si>
    <t>XlsMISP</t>
  </si>
  <si>
    <t>Version 0.5 - under MIT licence</t>
  </si>
  <si>
    <t>Using</t>
  </si>
  <si>
    <t xml:space="preserve">VBA-Web version 4.1.2 from Tim Hall, under MIT licence </t>
  </si>
  <si>
    <t>https://github.com/VBA-tools/VBA-Web</t>
  </si>
  <si>
    <t>Changelog</t>
  </si>
  <si>
    <t>0.1</t>
  </si>
  <si>
    <t>Initial version with basic querying features</t>
  </si>
  <si>
    <t>0.2</t>
  </si>
  <si>
    <t>Further web settings to allow customization</t>
  </si>
  <si>
    <t>0.3</t>
  </si>
  <si>
    <t>Various enhancement</t>
  </si>
  <si>
    <t>0.4</t>
  </si>
  <si>
    <t>Creation and edition of MISP events</t>
  </si>
  <si>
    <t>0.5</t>
  </si>
  <si>
    <t>Upload of payloads and proper MISP object handling</t>
  </si>
  <si>
    <t>Ideas for upcoming versions</t>
  </si>
  <si>
    <t>Creation / edition of MISP events</t>
  </si>
  <si>
    <t>Done v 0.4</t>
  </si>
  <si>
    <t>Selective refresh of the overview</t>
  </si>
  <si>
    <t>Done v 0.3</t>
  </si>
  <si>
    <t>Better logging (WebHelper -&gt; EnableLogging)</t>
  </si>
  <si>
    <t>Configurable user agent</t>
  </si>
  <si>
    <t>Done v 0.2</t>
  </si>
  <si>
    <t>Detection of stale records</t>
  </si>
  <si>
    <t>Upload of (malicious) payloads</t>
  </si>
  <si>
    <t>Done v 0.5</t>
  </si>
  <si>
    <t>Sightning API implementation (Sightings API)</t>
  </si>
  <si>
    <t>Enhance TAG handling</t>
  </si>
  <si>
    <t>Enhance error handling</t>
  </si>
  <si>
    <t>Safer storage of the API key</t>
  </si>
  <si>
    <t>Keeping an overview history</t>
  </si>
  <si>
    <t>Retrieve attribute category/type and force them via dropdown (https://&lt;misp url&gt;/attributes/describeTypes)</t>
  </si>
  <si>
    <t>Graphical tidy up</t>
  </si>
  <si>
    <t>Partially done in v 0.5</t>
  </si>
  <si>
    <t>Add button "use as template" on existing events</t>
  </si>
  <si>
    <t>Replace integer values by their MISP equivalent (threat level, …)</t>
  </si>
  <si>
    <t>Partially done in v 0.4</t>
  </si>
  <si>
    <t>Make the file multi-tenant able?</t>
  </si>
  <si>
    <t>Dropdown Lists</t>
  </si>
  <si>
    <t>Threat Level</t>
  </si>
  <si>
    <t>High</t>
  </si>
  <si>
    <t>Medium</t>
  </si>
  <si>
    <t>Low</t>
  </si>
  <si>
    <t>Undefined</t>
  </si>
  <si>
    <t>Analysis</t>
  </si>
  <si>
    <t>Initial</t>
  </si>
  <si>
    <t>Ongoing</t>
  </si>
  <si>
    <t>Completed</t>
  </si>
  <si>
    <t>Distribution</t>
  </si>
  <si>
    <t>Your organisation only</t>
  </si>
  <si>
    <t>This community only</t>
  </si>
  <si>
    <t>Connected Communities</t>
  </si>
  <si>
    <t>All communities</t>
  </si>
  <si>
    <t>Misp tags</t>
  </si>
  <si>
    <t>name</t>
  </si>
  <si>
    <t>Dropdown value</t>
  </si>
  <si>
    <t>In miliseconds, max allowed is 32'000 (otherwise it triggers a VBA integer overflow…)</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</si>
</sst>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dd/mm/yy\ hh:mm:ss"/>
    <numFmt numFmtId="165" formatCode="yyyy\-mm\-dd"/>
    <numFmt numFmtId="166" formatCode="#&quot; days&quot;"/>
    <numFmt numFmtId="167" formatCode="_ * #,##0.00_ ;_ * \-#,##0.00_ ;_ * &quot;-&quot;??_ ;_ @_ "/>
    <numFmt numFmtId="168" formatCode="_ * #,##0_ ;_ * \-#,##0_ ;_ * &quot;-&quot;??_ ;_ @_ "/>
    <numFmt numFmtId="169" formatCode="&quot;+ &quot;0&quot; minutes&quot;;&quot;- &quot;0&quot; minutes&quot;"/>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b/>
      <sz val="14"/>
      <color theme="1"/>
      <name val="Calibri"/>
      <family val="2"/>
      <scheme val="minor"/>
    </font>
    <font>
      <b/>
      <sz val="8"/>
      <color theme="1"/>
      <name val="Calibri"/>
      <family val="2"/>
      <scheme val="minor"/>
    </font>
    <font>
      <b/>
      <sz val="11"/>
      <color rgb="FFFF0000"/>
      <name val="Calibri"/>
      <family val="2"/>
      <scheme val="minor"/>
    </font>
    <font>
      <sz val="8"/>
      <color theme="1"/>
      <name val="Arial Unicode MS"/>
      <family val="2"/>
    </font>
    <font>
      <u/>
      <sz val="11"/>
      <color theme="10"/>
      <name val="Calibri"/>
      <family val="2"/>
      <scheme val="minor"/>
    </font>
  </fonts>
  <fills count="2">
    <fill>
      <patternFill patternType="none"/>
    </fill>
    <fill>
      <patternFill patternType="gray125"/>
    </fill>
  </fills>
  <borders count="1">
    <border>
      <left/>
      <right/>
      <top/>
      <bottom/>
      <diagonal/>
    </border>
  </borders>
  <cellStyleXfs count="3">
    <xf numFmtId="0" fontId="0" fillId="0" borderId="0"/>
    <xf numFmtId="0" fontId="8" fillId="0" borderId="0" applyNumberFormat="0" applyFill="0" applyBorder="0" applyAlignment="0" applyProtection="0"/>
    <xf numFmtId="167" fontId="1" fillId="0" borderId="0" applyFont="0" applyFill="0" applyBorder="0" applyAlignment="0" applyProtection="0"/>
  </cellStyleXfs>
  <cellXfs count="29">
    <xf numFmtId="0" fontId="0" fillId="0" borderId="0" xfId="0"/>
    <xf numFmtId="0" fontId="0" fillId="0" borderId="0" xfId="0" applyAlignment="1">
      <alignment vertical="center"/>
    </xf>
    <xf numFmtId="0" fontId="4" fillId="0" borderId="0" xfId="0" applyNumberFormat="1" applyFont="1" applyAlignment="1">
      <alignment horizontal="right"/>
    </xf>
    <xf numFmtId="0" fontId="2" fillId="0" borderId="0" xfId="0" applyFont="1" applyAlignment="1"/>
    <xf numFmtId="11" fontId="5" fillId="0" borderId="0" xfId="0" applyNumberFormat="1" applyFont="1" applyAlignment="1">
      <alignment horizontal="right"/>
    </xf>
    <xf numFmtId="14" fontId="0" fillId="0" borderId="0" xfId="0" applyNumberFormat="1" applyAlignment="1">
      <alignment vertical="center"/>
    </xf>
    <xf numFmtId="22" fontId="0" fillId="0" borderId="0" xfId="0" applyNumberFormat="1" applyAlignment="1">
      <alignment vertical="center"/>
    </xf>
    <xf numFmtId="0" fontId="5" fillId="0" borderId="0" xfId="0" applyNumberFormat="1" applyFont="1" applyAlignment="1">
      <alignment horizontal="right"/>
    </xf>
    <xf numFmtId="0" fontId="0" fillId="0" borderId="0" xfId="0" applyAlignment="1">
      <alignment horizontal="left"/>
    </xf>
    <xf numFmtId="164" fontId="0" fillId="0" borderId="0" xfId="0" applyNumberFormat="1" applyAlignment="1">
      <alignment horizontal="left"/>
    </xf>
    <xf numFmtId="164" fontId="0" fillId="0" borderId="0" xfId="0" applyNumberFormat="1"/>
    <xf numFmtId="0" fontId="0" fillId="0" borderId="0" xfId="0" applyAlignment="1"/>
    <xf numFmtId="0" fontId="6" fillId="0" borderId="0" xfId="0" applyFont="1"/>
    <xf numFmtId="0" fontId="2" fillId="0" borderId="0" xfId="0" applyFont="1"/>
    <xf numFmtId="165" fontId="0" fillId="0" borderId="0" xfId="0" applyNumberFormat="1" applyAlignment="1">
      <alignment horizontal="left"/>
    </xf>
    <xf numFmtId="0" fontId="7" fillId="0" borderId="0" xfId="0" applyFont="1" applyAlignment="1">
      <alignment vertical="center"/>
    </xf>
    <xf numFmtId="0" fontId="0" fillId="0" borderId="0" xfId="0" applyAlignment="1">
      <alignment horizontal="left" wrapText="1"/>
    </xf>
    <xf numFmtId="0" fontId="8" fillId="0" borderId="0" xfId="1"/>
    <xf numFmtId="166" fontId="0" fillId="0" borderId="0" xfId="0" applyNumberFormat="1" applyAlignment="1">
      <alignment horizontal="left"/>
    </xf>
    <xf numFmtId="166" fontId="8" fillId="0" borderId="0" xfId="1" applyNumberFormat="1" applyAlignment="1">
      <alignment horizontal="left"/>
    </xf>
    <xf numFmtId="168" fontId="0" fillId="0" borderId="0" xfId="2" applyNumberFormat="1" applyFont="1" applyAlignment="1">
      <alignment horizontal="left"/>
    </xf>
    <xf numFmtId="0" fontId="0" fillId="0" borderId="0" xfId="0" applyAlignment="1">
      <alignment horizontal="center" vertical="center"/>
    </xf>
    <xf numFmtId="169" fontId="0" fillId="0" borderId="0" xfId="0" applyNumberFormat="1"/>
    <xf numFmtId="1" fontId="0" fillId="0" borderId="0" xfId="0" applyNumberFormat="1"/>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xf>
    <xf numFmtId="14" fontId="0" fillId="0" borderId="0" xfId="0" applyNumberFormat="1" applyAlignment="1">
      <alignment horizontal="left"/>
    </xf>
    <xf numFmtId="0" fontId="0" fillId="0" borderId="0" xfId="0" applyAlignment="1">
      <alignment horizontal="left" wrapText="1"/>
    </xf>
  </cellXfs>
  <cellStyles count="3">
    <cellStyle name="Lien hypertexte" xfId="1" builtinId="8"/>
    <cellStyle name="Milliers 2" xfId="2"/>
    <cellStyle name="Normal" xfId="0" builtinId="0"/>
  </cellStyles>
  <dxfs count="2">
    <dxf>
      <font>
        <b/>
        <i val="0"/>
        <color theme="0"/>
      </font>
      <fill>
        <patternFill>
          <bgColor rgb="FFFF0000"/>
        </patternFill>
      </fill>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1463040</xdr:colOff>
          <xdr:row>0</xdr:row>
          <xdr:rowOff>137160</xdr:rowOff>
        </xdr:from>
        <xdr:to>
          <xdr:col>5</xdr:col>
          <xdr:colOff>327660</xdr:colOff>
          <xdr:row>0</xdr:row>
          <xdr:rowOff>487680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Update list and all events based on default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457200</xdr:colOff>
          <xdr:row>0</xdr:row>
          <xdr:rowOff>121920</xdr:rowOff>
        </xdr:from>
        <xdr:to>
          <xdr:col>3</xdr:col>
          <xdr:colOff>1341120</xdr:colOff>
          <xdr:row>0</xdr:row>
          <xdr:rowOff>502920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Update list based on default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716280</xdr:colOff>
          <xdr:row>0</xdr:row>
          <xdr:rowOff>144780</xdr:rowOff>
        </xdr:from>
        <xdr:to>
          <xdr:col>6</xdr:col>
          <xdr:colOff>1036320</xdr:colOff>
          <xdr:row>0</xdr:row>
          <xdr:rowOff>464820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617220</xdr:colOff>
          <xdr:row>0</xdr:row>
          <xdr:rowOff>152400</xdr:rowOff>
        </xdr:from>
        <xdr:to>
          <xdr:col>9</xdr:col>
          <xdr:colOff>868680</xdr:colOff>
          <xdr:row>0</xdr:row>
          <xdr:rowOff>464820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Add MISP event ID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xdr:colOff>
          <xdr:row>68</xdr:row>
          <xdr:rowOff>22860</xdr:rowOff>
        </xdr:from>
        <xdr:to>
          <xdr:col>2</xdr:col>
          <xdr:colOff>2842260</xdr:colOff>
          <xdr:row>69</xdr:row>
          <xdr:rowOff>45720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Refresh tags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53340</xdr:rowOff>
        </xdr:from>
        <xdr:to>
          <xdr:col>6</xdr:col>
          <xdr:colOff>670560</xdr:colOff>
          <xdr:row>2</xdr:row>
          <xdr:rowOff>160020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Update this event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975360</xdr:colOff>
          <xdr:row>3</xdr:row>
          <xdr:rowOff>106680</xdr:rowOff>
        </xdr:from>
        <xdr:to>
          <xdr:col>6</xdr:col>
          <xdr:colOff>662940</xdr:colOff>
          <xdr:row>5</xdr:row>
          <xdr:rowOff>175260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Accept pending proposals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982980</xdr:colOff>
          <xdr:row>6</xdr:row>
          <xdr:rowOff>68580</xdr:rowOff>
        </xdr:from>
        <xdr:to>
          <xdr:col>6</xdr:col>
          <xdr:colOff>678180</xdr:colOff>
          <xdr:row>8</xdr:row>
          <xdr:rowOff>106680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Publish (or alert) event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15240</xdr:colOff>
          <xdr:row>3</xdr:row>
          <xdr:rowOff>106680</xdr:rowOff>
        </xdr:from>
        <xdr:to>
          <xdr:col>8</xdr:col>
          <xdr:colOff>1051560</xdr:colOff>
          <xdr:row>5</xdr:row>
          <xdr:rowOff>175260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Propose added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7620</xdr:colOff>
          <xdr:row>6</xdr:row>
          <xdr:rowOff>53340</xdr:rowOff>
        </xdr:from>
        <xdr:to>
          <xdr:col>8</xdr:col>
          <xdr:colOff>1043940</xdr:colOff>
          <xdr:row>8</xdr:row>
          <xdr:rowOff>121920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Upload new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982980</xdr:colOff>
          <xdr:row>10</xdr:row>
          <xdr:rowOff>15240</xdr:rowOff>
        </xdr:from>
        <xdr:to>
          <xdr:col>6</xdr:col>
          <xdr:colOff>678180</xdr:colOff>
          <xdr:row>12</xdr:row>
          <xdr:rowOff>53340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Use this event as template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342900</xdr:colOff>
          <xdr:row>0</xdr:row>
          <xdr:rowOff>30480</xdr:rowOff>
        </xdr:from>
        <xdr:to>
          <xdr:col>7</xdr:col>
          <xdr:colOff>0</xdr:colOff>
          <xdr:row>6</xdr:row>
          <xdr:rowOff>38100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CREATE THIS EVENT</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localhost:8080/" TargetMode="Externa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O100"/>
  <sheetViews>
    <sheetView workbookViewId="0">
      <pane xSplit="1" ySplit="1" topLeftCell="B2" activePane="bottomRight" state="frozenSplit"/>
      <selection pane="topRight" activeCell="B1" sqref="B1"/>
      <selection pane="bottomLeft" activeCell="A2" sqref="A2"/>
      <selection pane="bottomRight"/>
    </sheetView>
  </sheetViews>
  <sheetFormatPr baseColWidth="10" defaultRowHeight="18" x14ac:dyDescent="0.35"/>
  <cols>
    <col min="1" max="1" width="7.6640625" style="2" bestFit="1" customWidth="1"/>
    <col min="2" max="2" width="30" style="7" bestFit="1" customWidth="1"/>
    <col min="3" max="3" width="10.5546875" bestFit="1" customWidth="1"/>
    <col min="4" max="4" width="57.33203125" bestFit="1" customWidth="1"/>
    <col min="6" max="6" width="14.88671875" bestFit="1" customWidth="1"/>
    <col min="7" max="7" width="15.6640625" bestFit="1" customWidth="1"/>
    <col min="8" max="8" width="9.6640625" bestFit="1" customWidth="1"/>
    <col min="9" max="9" width="8" bestFit="1" customWidth="1"/>
    <col min="10" max="10" width="19.44140625" bestFit="1" customWidth="1"/>
    <col min="11" max="11" width="6.88671875" bestFit="1" customWidth="1"/>
    <col min="12" max="12" width="23.5546875" bestFit="1" customWidth="1"/>
    <col min="14" max="14" width="14.5546875" bestFit="1" customWidth="1"/>
    <col min="15" max="15" width="21.88671875" bestFit="1" customWidth="1"/>
  </cols>
  <sheetData>
    <row r="1" spans="1:15" s="3" customFormat="1" ht="60" customHeight="1" x14ac:dyDescent="0.35">
      <c r="A1" s="2" t="s">
        <v>0</v>
      </c>
      <c r="B1" s="3" t="s">
        <v>1</v>
      </c>
      <c r="C1" s="3" t="s">
        <v>2</v>
      </c>
      <c r="D1" s="3" t="s">
        <v>3</v>
      </c>
      <c r="E1" s="3" t="s">
        <v>4</v>
      </c>
      <c r="F1" s="3" t="s">
        <v>5</v>
      </c>
      <c r="G1" s="3" t="s">
        <v>6</v>
      </c>
      <c r="H1" s="3" t="s">
        <v>7</v>
      </c>
      <c r="I1" s="3" t="s">
        <v>8</v>
      </c>
      <c r="J1" s="3" t="s">
        <v>9</v>
      </c>
      <c r="K1" s="3" t="s">
        <v>10</v>
      </c>
      <c r="L1" s="3" t="s">
        <v>11</v>
      </c>
      <c r="M1" s="3" t="s">
        <v>12</v>
      </c>
      <c r="N1" s="3" t="s">
        <v>13</v>
      </c>
      <c r="O1" s="3" t="s">
        <v>14</v>
      </c>
    </row>
    <row r="2" spans="1:15" x14ac:dyDescent="0.35">
      <c r="B2" s="4"/>
      <c r="C2" s="5"/>
      <c r="D2" s="1"/>
      <c r="E2" s="1"/>
      <c r="F2" s="1"/>
      <c r="G2" s="6"/>
      <c r="H2" s="1"/>
      <c r="I2" s="1"/>
      <c r="J2" s="1"/>
      <c r="K2" s="1"/>
      <c r="L2" s="6"/>
      <c r="M2" s="1"/>
      <c r="N2" s="1"/>
      <c r="O2" s="1"/>
    </row>
    <row r="3" spans="1:15" x14ac:dyDescent="0.35">
      <c r="B3" s="4"/>
      <c r="C3" s="5"/>
      <c r="D3" s="1"/>
      <c r="E3" s="1"/>
      <c r="F3" s="1"/>
      <c r="G3" s="6"/>
      <c r="H3" s="1"/>
      <c r="I3" s="1"/>
      <c r="J3" s="1"/>
      <c r="K3" s="1"/>
      <c r="L3" s="6"/>
      <c r="M3" s="1"/>
      <c r="N3" s="1"/>
      <c r="O3" s="1"/>
    </row>
    <row r="4" spans="1:15" x14ac:dyDescent="0.35">
      <c r="B4" s="4"/>
      <c r="C4" s="5"/>
      <c r="D4" s="1"/>
      <c r="E4" s="1"/>
      <c r="F4" s="1"/>
      <c r="G4" s="6"/>
      <c r="H4" s="1"/>
      <c r="I4" s="1"/>
      <c r="J4" s="1"/>
      <c r="K4" s="1"/>
      <c r="L4" s="6"/>
      <c r="M4" s="1"/>
      <c r="N4" s="1"/>
      <c r="O4" s="1"/>
    </row>
    <row r="5" spans="1:15" x14ac:dyDescent="0.35">
      <c r="B5" s="4"/>
      <c r="C5" s="5"/>
      <c r="D5" s="1"/>
      <c r="E5" s="1"/>
      <c r="F5" s="1"/>
      <c r="G5" s="6"/>
      <c r="H5" s="1"/>
      <c r="I5" s="1"/>
      <c r="J5" s="1"/>
      <c r="K5" s="1"/>
      <c r="L5" s="6"/>
      <c r="M5" s="1"/>
      <c r="N5" s="1"/>
      <c r="O5" s="1"/>
    </row>
    <row r="6" spans="1:15" x14ac:dyDescent="0.35">
      <c r="B6" s="4"/>
      <c r="C6" s="5"/>
      <c r="D6" s="1"/>
      <c r="E6" s="1"/>
      <c r="F6" s="1"/>
      <c r="G6" s="6"/>
      <c r="H6" s="1"/>
      <c r="I6" s="1"/>
      <c r="J6" s="1"/>
      <c r="K6" s="1"/>
      <c r="L6" s="6"/>
      <c r="M6" s="1"/>
      <c r="N6" s="1"/>
      <c r="O6" s="1"/>
    </row>
    <row r="7" spans="1:15" x14ac:dyDescent="0.35">
      <c r="B7" s="4"/>
      <c r="C7" s="5"/>
      <c r="D7" s="1"/>
      <c r="E7" s="1"/>
      <c r="F7" s="1"/>
      <c r="G7" s="6"/>
      <c r="H7" s="1"/>
      <c r="I7" s="1"/>
      <c r="J7" s="1"/>
      <c r="K7" s="1"/>
      <c r="L7" s="6"/>
      <c r="M7" s="1"/>
      <c r="N7" s="1"/>
      <c r="O7" s="1"/>
    </row>
    <row r="8" spans="1:15" x14ac:dyDescent="0.35">
      <c r="B8" s="4"/>
      <c r="C8" s="5"/>
      <c r="D8" s="1"/>
      <c r="E8" s="1"/>
      <c r="F8" s="1"/>
      <c r="G8" s="6"/>
      <c r="H8" s="1"/>
      <c r="I8" s="1"/>
      <c r="J8" s="1"/>
      <c r="K8" s="1"/>
      <c r="L8" s="6"/>
      <c r="M8" s="1"/>
      <c r="N8" s="1"/>
      <c r="O8" s="1"/>
    </row>
    <row r="9" spans="1:15" x14ac:dyDescent="0.35">
      <c r="B9" s="4"/>
      <c r="C9" s="5"/>
      <c r="D9" s="1"/>
      <c r="E9" s="1"/>
      <c r="F9" s="1"/>
      <c r="G9" s="6"/>
      <c r="H9" s="1"/>
      <c r="I9" s="1"/>
      <c r="J9" s="1"/>
      <c r="K9" s="1"/>
      <c r="L9" s="6"/>
      <c r="M9" s="1"/>
      <c r="N9" s="1"/>
      <c r="O9" s="1"/>
    </row>
    <row r="10" spans="1:15" x14ac:dyDescent="0.35">
      <c r="B10" s="4"/>
      <c r="C10" s="5"/>
      <c r="D10" s="1"/>
      <c r="E10" s="1"/>
      <c r="F10" s="1"/>
      <c r="G10" s="6"/>
      <c r="H10" s="1"/>
      <c r="I10" s="1"/>
      <c r="J10" s="1"/>
      <c r="K10" s="1"/>
      <c r="L10" s="6"/>
      <c r="M10" s="1"/>
      <c r="N10" s="1"/>
      <c r="O10" s="1"/>
    </row>
    <row r="11" spans="1:15" x14ac:dyDescent="0.35">
      <c r="B11" s="4"/>
      <c r="C11" s="5"/>
      <c r="D11" s="1"/>
      <c r="E11" s="1"/>
      <c r="F11" s="1"/>
      <c r="G11" s="6"/>
      <c r="H11" s="1"/>
      <c r="I11" s="1"/>
      <c r="J11" s="1"/>
      <c r="K11" s="1"/>
      <c r="L11" s="6"/>
      <c r="M11" s="1"/>
      <c r="N11" s="1"/>
      <c r="O11" s="1"/>
    </row>
    <row r="12" spans="1:15" x14ac:dyDescent="0.35">
      <c r="B12" s="4"/>
      <c r="C12" s="5"/>
      <c r="D12" s="1"/>
      <c r="E12" s="1"/>
      <c r="F12" s="1"/>
      <c r="G12" s="6"/>
      <c r="H12" s="1"/>
      <c r="I12" s="1"/>
      <c r="J12" s="1"/>
      <c r="K12" s="1"/>
      <c r="L12" s="6"/>
      <c r="M12" s="1"/>
      <c r="N12" s="1"/>
      <c r="O12" s="1"/>
    </row>
    <row r="13" spans="1:15" x14ac:dyDescent="0.35">
      <c r="B13" s="4"/>
      <c r="C13" s="5"/>
      <c r="D13" s="1"/>
      <c r="E13" s="1"/>
      <c r="F13" s="1"/>
      <c r="G13" s="6"/>
      <c r="H13" s="1"/>
      <c r="I13" s="1"/>
      <c r="J13" s="1"/>
      <c r="K13" s="1"/>
      <c r="L13" s="6"/>
      <c r="M13" s="1"/>
      <c r="N13" s="1"/>
      <c r="O13" s="1"/>
    </row>
    <row r="14" spans="1:15" x14ac:dyDescent="0.35">
      <c r="B14" s="4"/>
      <c r="C14" s="5"/>
      <c r="D14" s="1"/>
      <c r="E14" s="1"/>
      <c r="F14" s="1"/>
      <c r="G14" s="6"/>
      <c r="H14" s="1"/>
      <c r="I14" s="1"/>
      <c r="J14" s="1"/>
      <c r="K14" s="1"/>
      <c r="L14" s="6"/>
      <c r="M14" s="1"/>
      <c r="N14" s="1"/>
      <c r="O14" s="1"/>
    </row>
    <row r="15" spans="1:15" x14ac:dyDescent="0.35">
      <c r="B15" s="4"/>
      <c r="C15" s="5"/>
      <c r="D15" s="1"/>
      <c r="E15" s="1"/>
      <c r="F15" s="1"/>
      <c r="G15" s="6"/>
      <c r="H15" s="1"/>
      <c r="I15" s="1"/>
      <c r="J15" s="1"/>
      <c r="K15" s="1"/>
      <c r="L15" s="6"/>
      <c r="M15" s="1"/>
      <c r="N15" s="1"/>
      <c r="O15" s="1"/>
    </row>
    <row r="16" spans="1:15" x14ac:dyDescent="0.35">
      <c r="B16" s="4"/>
      <c r="C16" s="5"/>
      <c r="D16" s="1"/>
      <c r="E16" s="1"/>
      <c r="F16" s="1"/>
      <c r="G16" s="6"/>
      <c r="H16" s="1"/>
      <c r="I16" s="1"/>
      <c r="J16" s="1"/>
      <c r="K16" s="1"/>
      <c r="L16" s="6"/>
      <c r="M16" s="1"/>
      <c r="N16" s="1"/>
      <c r="O16" s="1"/>
    </row>
    <row r="17" spans="2:15" x14ac:dyDescent="0.35">
      <c r="B17" s="4"/>
      <c r="C17" s="5"/>
      <c r="D17" s="1"/>
      <c r="E17" s="1"/>
      <c r="F17" s="1"/>
      <c r="G17" s="6"/>
      <c r="H17" s="1"/>
      <c r="I17" s="1"/>
      <c r="J17" s="1"/>
      <c r="K17" s="1"/>
      <c r="L17" s="6"/>
      <c r="M17" s="1"/>
      <c r="N17" s="1"/>
      <c r="O17" s="1"/>
    </row>
    <row r="18" spans="2:15" x14ac:dyDescent="0.35">
      <c r="B18" s="4"/>
      <c r="C18" s="5"/>
      <c r="D18" s="1"/>
      <c r="E18" s="1"/>
      <c r="F18" s="1"/>
      <c r="G18" s="6"/>
      <c r="H18" s="1"/>
      <c r="I18" s="1"/>
      <c r="J18" s="1"/>
      <c r="K18" s="1"/>
      <c r="L18" s="6"/>
      <c r="M18" s="1"/>
      <c r="N18" s="1"/>
      <c r="O18" s="1"/>
    </row>
    <row r="19" spans="2:15" x14ac:dyDescent="0.35">
      <c r="B19" s="4"/>
      <c r="C19" s="5"/>
      <c r="D19" s="1"/>
      <c r="E19" s="1"/>
      <c r="F19" s="1"/>
      <c r="G19" s="6"/>
      <c r="H19" s="1"/>
      <c r="I19" s="1"/>
      <c r="J19" s="1"/>
      <c r="K19" s="1"/>
      <c r="L19" s="6"/>
      <c r="M19" s="1"/>
      <c r="N19" s="1"/>
      <c r="O19" s="1"/>
    </row>
    <row r="20" spans="2:15" x14ac:dyDescent="0.35">
      <c r="B20" s="4"/>
      <c r="C20" s="5"/>
      <c r="D20" s="1"/>
      <c r="E20" s="1"/>
      <c r="F20" s="1"/>
      <c r="G20" s="6"/>
      <c r="H20" s="1"/>
      <c r="I20" s="1"/>
      <c r="J20" s="1"/>
      <c r="K20" s="1"/>
      <c r="L20" s="6"/>
      <c r="M20" s="1"/>
      <c r="N20" s="1"/>
      <c r="O20" s="1"/>
    </row>
    <row r="21" spans="2:15" x14ac:dyDescent="0.35">
      <c r="B21" s="4"/>
      <c r="C21" s="5"/>
      <c r="D21" s="1"/>
      <c r="E21" s="1"/>
      <c r="F21" s="1"/>
      <c r="G21" s="6"/>
      <c r="H21" s="1"/>
      <c r="I21" s="1"/>
      <c r="J21" s="1"/>
      <c r="K21" s="1"/>
      <c r="L21" s="6"/>
      <c r="M21" s="1"/>
      <c r="N21" s="1"/>
      <c r="O21" s="1"/>
    </row>
    <row r="22" spans="2:15" x14ac:dyDescent="0.35">
      <c r="B22" s="4"/>
      <c r="C22" s="5"/>
      <c r="D22" s="1"/>
      <c r="E22" s="1"/>
      <c r="F22" s="1"/>
      <c r="G22" s="6"/>
      <c r="H22" s="1"/>
      <c r="I22" s="1"/>
      <c r="J22" s="1"/>
      <c r="K22" s="1"/>
      <c r="L22" s="6"/>
      <c r="M22" s="1"/>
      <c r="N22" s="1"/>
      <c r="O22" s="1"/>
    </row>
    <row r="23" spans="2:15" x14ac:dyDescent="0.35">
      <c r="B23" s="4"/>
      <c r="C23" s="5"/>
      <c r="D23" s="1"/>
      <c r="E23" s="1"/>
      <c r="F23" s="1"/>
      <c r="G23" s="6"/>
      <c r="H23" s="1"/>
      <c r="I23" s="1"/>
      <c r="J23" s="1"/>
      <c r="K23" s="1"/>
      <c r="L23" s="6"/>
      <c r="M23" s="1"/>
      <c r="N23" s="1"/>
      <c r="O23" s="1"/>
    </row>
    <row r="24" spans="2:15" x14ac:dyDescent="0.35">
      <c r="B24" s="4"/>
      <c r="C24" s="5"/>
      <c r="D24" s="1"/>
      <c r="E24" s="1"/>
      <c r="F24" s="1"/>
      <c r="G24" s="6"/>
      <c r="H24" s="1"/>
      <c r="I24" s="1"/>
      <c r="J24" s="1"/>
      <c r="K24" s="1"/>
      <c r="L24" s="6"/>
      <c r="M24" s="1"/>
      <c r="N24" s="1"/>
      <c r="O24" s="1"/>
    </row>
    <row r="25" spans="2:15" x14ac:dyDescent="0.35">
      <c r="B25" s="4"/>
      <c r="C25" s="5"/>
      <c r="D25" s="1"/>
      <c r="E25" s="1"/>
      <c r="F25" s="1"/>
      <c r="G25" s="6"/>
      <c r="H25" s="1"/>
      <c r="I25" s="1"/>
      <c r="J25" s="1"/>
      <c r="K25" s="1"/>
      <c r="L25" s="6"/>
      <c r="M25" s="1"/>
      <c r="N25" s="1"/>
      <c r="O25" s="1"/>
    </row>
    <row r="26" spans="2:15" x14ac:dyDescent="0.35">
      <c r="B26" s="4"/>
      <c r="C26" s="5"/>
      <c r="D26" s="1"/>
      <c r="E26" s="1"/>
      <c r="F26" s="1"/>
      <c r="G26" s="6"/>
      <c r="H26" s="1"/>
      <c r="I26" s="1"/>
      <c r="J26" s="1"/>
      <c r="K26" s="1"/>
      <c r="L26" s="6"/>
      <c r="M26" s="1"/>
      <c r="N26" s="1"/>
      <c r="O26" s="1"/>
    </row>
    <row r="27" spans="2:15" x14ac:dyDescent="0.35">
      <c r="B27" s="4"/>
      <c r="C27" s="5"/>
      <c r="D27" s="1"/>
      <c r="E27" s="1"/>
      <c r="F27" s="1"/>
      <c r="G27" s="6"/>
      <c r="H27" s="1"/>
      <c r="I27" s="1"/>
      <c r="J27" s="1"/>
      <c r="K27" s="1"/>
      <c r="L27" s="6"/>
      <c r="M27" s="1"/>
      <c r="N27" s="1"/>
      <c r="O27" s="1"/>
    </row>
    <row r="28" spans="2:15" x14ac:dyDescent="0.35">
      <c r="B28" s="4"/>
      <c r="C28" s="5"/>
      <c r="D28" s="1"/>
      <c r="E28" s="1"/>
      <c r="F28" s="1"/>
      <c r="G28" s="6"/>
      <c r="H28" s="1"/>
      <c r="I28" s="1"/>
      <c r="J28" s="1"/>
      <c r="K28" s="1"/>
      <c r="L28" s="6"/>
      <c r="M28" s="1"/>
      <c r="N28" s="1"/>
      <c r="O28" s="1"/>
    </row>
    <row r="29" spans="2:15" x14ac:dyDescent="0.35">
      <c r="B29" s="4"/>
      <c r="C29" s="5"/>
      <c r="D29" s="1"/>
      <c r="E29" s="1"/>
      <c r="F29" s="1"/>
      <c r="G29" s="6"/>
      <c r="H29" s="1"/>
      <c r="I29" s="1"/>
      <c r="J29" s="1"/>
      <c r="K29" s="1"/>
      <c r="L29" s="6"/>
      <c r="M29" s="1"/>
      <c r="N29" s="1"/>
      <c r="O29" s="1"/>
    </row>
    <row r="30" spans="2:15" x14ac:dyDescent="0.35">
      <c r="B30" s="4"/>
      <c r="C30" s="5"/>
      <c r="D30" s="1"/>
      <c r="E30" s="1"/>
      <c r="F30" s="1"/>
      <c r="G30" s="6"/>
      <c r="H30" s="1"/>
      <c r="I30" s="1"/>
      <c r="J30" s="1"/>
      <c r="K30" s="1"/>
      <c r="L30" s="6"/>
      <c r="M30" s="1"/>
      <c r="N30" s="1"/>
      <c r="O30" s="1"/>
    </row>
    <row r="31" spans="2:15" x14ac:dyDescent="0.35">
      <c r="B31" s="4"/>
      <c r="C31" s="5"/>
      <c r="D31" s="1"/>
      <c r="E31" s="1"/>
      <c r="F31" s="1"/>
      <c r="G31" s="6"/>
      <c r="H31" s="1"/>
      <c r="I31" s="1"/>
      <c r="J31" s="1"/>
      <c r="K31" s="1"/>
      <c r="L31" s="6"/>
      <c r="M31" s="1"/>
      <c r="N31" s="1"/>
      <c r="O31" s="1"/>
    </row>
    <row r="32" spans="2:15" x14ac:dyDescent="0.35">
      <c r="B32" s="4"/>
      <c r="C32" s="5"/>
      <c r="D32" s="1"/>
      <c r="E32" s="1"/>
      <c r="F32" s="1"/>
      <c r="G32" s="6"/>
      <c r="H32" s="1"/>
      <c r="I32" s="1"/>
      <c r="J32" s="1"/>
      <c r="K32" s="1"/>
      <c r="L32" s="6"/>
      <c r="M32" s="1"/>
      <c r="N32" s="1"/>
      <c r="O32" s="1"/>
    </row>
    <row r="33" spans="2:15" x14ac:dyDescent="0.35">
      <c r="B33" s="4"/>
      <c r="C33" s="5"/>
      <c r="D33" s="1"/>
      <c r="E33" s="1"/>
      <c r="F33" s="1"/>
      <c r="G33" s="6"/>
      <c r="H33" s="1"/>
      <c r="I33" s="1"/>
      <c r="J33" s="1"/>
      <c r="K33" s="1"/>
      <c r="L33" s="6"/>
      <c r="M33" s="1"/>
      <c r="N33" s="1"/>
      <c r="O33" s="1"/>
    </row>
    <row r="34" spans="2:15" x14ac:dyDescent="0.35">
      <c r="B34" s="4"/>
      <c r="C34" s="5"/>
      <c r="D34" s="1"/>
      <c r="E34" s="1"/>
      <c r="F34" s="1"/>
      <c r="G34" s="6"/>
      <c r="H34" s="1"/>
      <c r="I34" s="1"/>
      <c r="J34" s="1"/>
      <c r="K34" s="1"/>
      <c r="L34" s="6"/>
      <c r="M34" s="1"/>
      <c r="N34" s="1"/>
      <c r="O34" s="1"/>
    </row>
    <row r="35" spans="2:15" x14ac:dyDescent="0.35">
      <c r="B35" s="4"/>
      <c r="C35" s="5"/>
      <c r="D35" s="1"/>
      <c r="E35" s="1"/>
      <c r="F35" s="1"/>
      <c r="G35" s="6"/>
      <c r="H35" s="1"/>
      <c r="I35" s="1"/>
      <c r="J35" s="1"/>
      <c r="K35" s="1"/>
      <c r="L35" s="6"/>
      <c r="M35" s="1"/>
      <c r="N35" s="1"/>
      <c r="O35" s="1"/>
    </row>
    <row r="36" spans="2:15" x14ac:dyDescent="0.35">
      <c r="B36" s="4"/>
      <c r="C36" s="5"/>
      <c r="D36" s="1"/>
      <c r="E36" s="1"/>
      <c r="F36" s="1"/>
      <c r="G36" s="6"/>
      <c r="H36" s="1"/>
      <c r="I36" s="1"/>
      <c r="J36" s="1"/>
      <c r="K36" s="1"/>
      <c r="L36" s="6"/>
      <c r="M36" s="1"/>
      <c r="N36" s="1"/>
      <c r="O36" s="1"/>
    </row>
    <row r="37" spans="2:15" x14ac:dyDescent="0.35">
      <c r="B37" s="4"/>
      <c r="C37" s="5"/>
      <c r="D37" s="1"/>
      <c r="E37" s="1"/>
      <c r="F37" s="1"/>
      <c r="G37" s="6"/>
      <c r="H37" s="1"/>
      <c r="I37" s="1"/>
      <c r="J37" s="1"/>
      <c r="K37" s="1"/>
      <c r="L37" s="6"/>
      <c r="M37" s="1"/>
      <c r="N37" s="1"/>
      <c r="O37" s="1"/>
    </row>
    <row r="38" spans="2:15" x14ac:dyDescent="0.35">
      <c r="B38" s="4"/>
      <c r="C38" s="5"/>
      <c r="D38" s="1"/>
      <c r="E38" s="1"/>
      <c r="F38" s="1"/>
      <c r="G38" s="6"/>
      <c r="H38" s="1"/>
      <c r="I38" s="1"/>
      <c r="J38" s="1"/>
      <c r="K38" s="1"/>
      <c r="L38" s="6"/>
      <c r="M38" s="1"/>
      <c r="N38" s="1"/>
      <c r="O38" s="1"/>
    </row>
    <row r="39" spans="2:15" x14ac:dyDescent="0.35">
      <c r="B39" s="4"/>
      <c r="C39" s="5"/>
      <c r="D39" s="1"/>
      <c r="E39" s="1"/>
      <c r="F39" s="1"/>
      <c r="G39" s="6"/>
      <c r="H39" s="1"/>
      <c r="I39" s="1"/>
      <c r="J39" s="1"/>
      <c r="K39" s="1"/>
      <c r="L39" s="6"/>
      <c r="M39" s="1"/>
      <c r="N39" s="1"/>
      <c r="O39" s="1"/>
    </row>
    <row r="40" spans="2:15" x14ac:dyDescent="0.35">
      <c r="B40" s="4"/>
      <c r="C40" s="5"/>
      <c r="D40" s="1"/>
      <c r="E40" s="1"/>
      <c r="F40" s="1"/>
      <c r="G40" s="6"/>
      <c r="H40" s="1"/>
      <c r="I40" s="1"/>
      <c r="J40" s="1"/>
      <c r="K40" s="1"/>
      <c r="L40" s="6"/>
      <c r="M40" s="1"/>
      <c r="N40" s="1"/>
      <c r="O40" s="1"/>
    </row>
    <row r="41" spans="2:15" x14ac:dyDescent="0.35">
      <c r="B41" s="4"/>
      <c r="C41" s="5"/>
      <c r="D41" s="1"/>
      <c r="E41" s="1"/>
      <c r="F41" s="1"/>
      <c r="G41" s="6"/>
      <c r="H41" s="1"/>
      <c r="I41" s="1"/>
      <c r="J41" s="1"/>
      <c r="K41" s="1"/>
      <c r="L41" s="6"/>
      <c r="M41" s="1"/>
      <c r="N41" s="1"/>
      <c r="O41" s="1"/>
    </row>
    <row r="42" spans="2:15" x14ac:dyDescent="0.35">
      <c r="B42" s="4"/>
      <c r="C42" s="5"/>
      <c r="D42" s="1"/>
      <c r="E42" s="1"/>
      <c r="F42" s="1"/>
      <c r="G42" s="6"/>
      <c r="H42" s="1"/>
      <c r="I42" s="1"/>
      <c r="J42" s="1"/>
      <c r="K42" s="1"/>
      <c r="L42" s="6"/>
      <c r="M42" s="1"/>
      <c r="N42" s="1"/>
      <c r="O42" s="1"/>
    </row>
    <row r="43" spans="2:15" x14ac:dyDescent="0.35">
      <c r="B43" s="4"/>
      <c r="C43" s="5"/>
      <c r="D43" s="1"/>
      <c r="E43" s="1"/>
      <c r="F43" s="1"/>
      <c r="G43" s="6"/>
      <c r="H43" s="1"/>
      <c r="I43" s="1"/>
      <c r="J43" s="1"/>
      <c r="K43" s="1"/>
      <c r="L43" s="6"/>
      <c r="M43" s="1"/>
      <c r="N43" s="1"/>
      <c r="O43" s="1"/>
    </row>
    <row r="44" spans="2:15" x14ac:dyDescent="0.35">
      <c r="B44" s="4"/>
      <c r="C44" s="5"/>
      <c r="D44" s="1"/>
      <c r="E44" s="1"/>
      <c r="F44" s="1"/>
      <c r="G44" s="6"/>
      <c r="H44" s="1"/>
      <c r="I44" s="1"/>
      <c r="J44" s="1"/>
      <c r="K44" s="1"/>
      <c r="L44" s="6"/>
      <c r="M44" s="1"/>
      <c r="N44" s="1"/>
      <c r="O44" s="1"/>
    </row>
    <row r="45" spans="2:15" x14ac:dyDescent="0.35">
      <c r="B45" s="4"/>
      <c r="C45" s="5"/>
      <c r="D45" s="1"/>
      <c r="E45" s="1"/>
      <c r="F45" s="1"/>
      <c r="G45" s="6"/>
      <c r="H45" s="1"/>
      <c r="I45" s="1"/>
      <c r="J45" s="1"/>
      <c r="K45" s="1"/>
      <c r="L45" s="6"/>
      <c r="M45" s="1"/>
      <c r="N45" s="1"/>
      <c r="O45" s="1"/>
    </row>
    <row r="46" spans="2:15" x14ac:dyDescent="0.35">
      <c r="B46" s="4"/>
      <c r="C46" s="5"/>
      <c r="D46" s="1"/>
      <c r="E46" s="1"/>
      <c r="F46" s="1"/>
      <c r="G46" s="6"/>
      <c r="H46" s="1"/>
      <c r="I46" s="1"/>
      <c r="J46" s="1"/>
      <c r="K46" s="1"/>
      <c r="L46" s="6"/>
      <c r="M46" s="1"/>
      <c r="N46" s="1"/>
      <c r="O46" s="1"/>
    </row>
    <row r="47" spans="2:15" x14ac:dyDescent="0.35">
      <c r="B47" s="4"/>
      <c r="C47" s="5"/>
      <c r="D47" s="1"/>
      <c r="E47" s="1"/>
      <c r="F47" s="1"/>
      <c r="G47" s="6"/>
      <c r="H47" s="1"/>
      <c r="I47" s="1"/>
      <c r="J47" s="1"/>
      <c r="K47" s="1"/>
      <c r="L47" s="6"/>
      <c r="M47" s="1"/>
      <c r="N47" s="1"/>
      <c r="O47" s="1"/>
    </row>
    <row r="48" spans="2:15" x14ac:dyDescent="0.35">
      <c r="B48" s="4"/>
      <c r="C48" s="5"/>
      <c r="D48" s="1"/>
      <c r="E48" s="1"/>
      <c r="F48" s="1"/>
      <c r="G48" s="6"/>
      <c r="H48" s="1"/>
      <c r="I48" s="1"/>
      <c r="J48" s="1"/>
      <c r="K48" s="1"/>
      <c r="L48" s="6"/>
      <c r="M48" s="1"/>
      <c r="N48" s="1"/>
      <c r="O48" s="1"/>
    </row>
    <row r="49" spans="2:15" x14ac:dyDescent="0.35">
      <c r="B49" s="4"/>
      <c r="C49" s="5"/>
      <c r="D49" s="1"/>
      <c r="E49" s="1"/>
      <c r="F49" s="1"/>
      <c r="G49" s="6"/>
      <c r="H49" s="1"/>
      <c r="I49" s="1"/>
      <c r="J49" s="1"/>
      <c r="K49" s="1"/>
      <c r="L49" s="6"/>
      <c r="M49" s="1"/>
      <c r="N49" s="1"/>
      <c r="O49" s="1"/>
    </row>
    <row r="50" spans="2:15" x14ac:dyDescent="0.35">
      <c r="B50" s="4"/>
      <c r="C50" s="5"/>
      <c r="D50" s="1"/>
      <c r="E50" s="1"/>
      <c r="F50" s="1"/>
      <c r="G50" s="6"/>
      <c r="H50" s="1"/>
      <c r="I50" s="1"/>
      <c r="J50" s="1"/>
      <c r="K50" s="1"/>
      <c r="L50" s="6"/>
      <c r="M50" s="1"/>
      <c r="N50" s="1"/>
      <c r="O50" s="1"/>
    </row>
    <row r="51" spans="2:15" x14ac:dyDescent="0.35">
      <c r="B51" s="4"/>
      <c r="C51" s="5"/>
      <c r="D51" s="1"/>
      <c r="E51" s="1"/>
      <c r="F51" s="1"/>
      <c r="G51" s="6"/>
      <c r="H51" s="1"/>
      <c r="I51" s="1"/>
      <c r="J51" s="1"/>
      <c r="K51" s="1"/>
      <c r="L51" s="6"/>
      <c r="M51" s="1"/>
      <c r="N51" s="1"/>
      <c r="O51" s="1"/>
    </row>
    <row r="52" spans="2:15" x14ac:dyDescent="0.35">
      <c r="B52" s="4"/>
      <c r="C52" s="5"/>
      <c r="D52" s="1"/>
      <c r="E52" s="1"/>
      <c r="F52" s="1"/>
      <c r="G52" s="6"/>
      <c r="H52" s="1"/>
      <c r="I52" s="1"/>
      <c r="J52" s="1"/>
      <c r="K52" s="1"/>
      <c r="L52" s="6"/>
      <c r="M52" s="1"/>
      <c r="N52" s="1"/>
      <c r="O52" s="1"/>
    </row>
    <row r="53" spans="2:15" x14ac:dyDescent="0.35">
      <c r="B53" s="4"/>
      <c r="C53" s="5"/>
      <c r="D53" s="1"/>
      <c r="E53" s="1"/>
      <c r="F53" s="1"/>
      <c r="G53" s="6"/>
      <c r="H53" s="1"/>
      <c r="I53" s="1"/>
      <c r="J53" s="1"/>
      <c r="K53" s="1"/>
      <c r="L53" s="6"/>
      <c r="M53" s="1"/>
      <c r="N53" s="1"/>
      <c r="O53" s="1"/>
    </row>
    <row r="54" spans="2:15" x14ac:dyDescent="0.35">
      <c r="B54" s="4"/>
      <c r="C54" s="5"/>
      <c r="D54" s="1"/>
      <c r="E54" s="1"/>
      <c r="F54" s="1"/>
      <c r="G54" s="6"/>
      <c r="H54" s="1"/>
      <c r="I54" s="1"/>
      <c r="J54" s="1"/>
      <c r="K54" s="1"/>
      <c r="L54" s="6"/>
      <c r="M54" s="1"/>
      <c r="N54" s="1"/>
      <c r="O54" s="1"/>
    </row>
    <row r="55" spans="2:15" x14ac:dyDescent="0.35">
      <c r="B55" s="4"/>
      <c r="C55" s="5"/>
      <c r="D55" s="1"/>
      <c r="E55" s="1"/>
      <c r="F55" s="1"/>
      <c r="G55" s="6"/>
      <c r="H55" s="1"/>
      <c r="I55" s="1"/>
      <c r="J55" s="1"/>
      <c r="K55" s="1"/>
      <c r="L55" s="6"/>
      <c r="M55" s="1"/>
      <c r="N55" s="1"/>
      <c r="O55" s="1"/>
    </row>
    <row r="56" spans="2:15" x14ac:dyDescent="0.35">
      <c r="B56" s="4"/>
      <c r="C56" s="5"/>
      <c r="D56" s="1"/>
      <c r="E56" s="1"/>
      <c r="F56" s="1"/>
      <c r="G56" s="6"/>
      <c r="H56" s="1"/>
      <c r="I56" s="1"/>
      <c r="J56" s="1"/>
      <c r="K56" s="1"/>
      <c r="L56" s="6"/>
      <c r="M56" s="1"/>
      <c r="N56" s="1"/>
      <c r="O56" s="1"/>
    </row>
    <row r="57" spans="2:15" x14ac:dyDescent="0.35">
      <c r="B57" s="4"/>
      <c r="C57" s="5"/>
      <c r="D57" s="1"/>
      <c r="E57" s="1"/>
      <c r="F57" s="1"/>
      <c r="G57" s="6"/>
      <c r="H57" s="1"/>
      <c r="I57" s="1"/>
      <c r="J57" s="1"/>
      <c r="K57" s="1"/>
      <c r="L57" s="6"/>
      <c r="M57" s="1"/>
      <c r="N57" s="1"/>
      <c r="O57" s="1"/>
    </row>
    <row r="58" spans="2:15" x14ac:dyDescent="0.35">
      <c r="B58" s="4"/>
      <c r="C58" s="5"/>
      <c r="D58" s="1"/>
      <c r="E58" s="1"/>
      <c r="F58" s="1"/>
      <c r="G58" s="6"/>
      <c r="H58" s="1"/>
      <c r="I58" s="1"/>
      <c r="J58" s="1"/>
      <c r="K58" s="1"/>
      <c r="L58" s="6"/>
      <c r="M58" s="1"/>
      <c r="N58" s="1"/>
      <c r="O58" s="1"/>
    </row>
    <row r="59" spans="2:15" x14ac:dyDescent="0.35">
      <c r="B59" s="4"/>
      <c r="C59" s="5"/>
      <c r="D59" s="1"/>
      <c r="E59" s="1"/>
      <c r="F59" s="1"/>
      <c r="G59" s="6"/>
      <c r="H59" s="1"/>
      <c r="I59" s="1"/>
      <c r="J59" s="1"/>
      <c r="K59" s="1"/>
      <c r="L59" s="6"/>
      <c r="M59" s="1"/>
      <c r="N59" s="1"/>
      <c r="O59" s="1"/>
    </row>
    <row r="60" spans="2:15" x14ac:dyDescent="0.35">
      <c r="B60" s="4"/>
      <c r="C60" s="5"/>
      <c r="D60" s="1"/>
      <c r="E60" s="1"/>
      <c r="F60" s="1"/>
      <c r="G60" s="6"/>
      <c r="H60" s="1"/>
      <c r="I60" s="1"/>
      <c r="J60" s="1"/>
      <c r="K60" s="1"/>
      <c r="L60" s="6"/>
      <c r="M60" s="1"/>
      <c r="N60" s="1"/>
      <c r="O60" s="1"/>
    </row>
    <row r="61" spans="2:15" x14ac:dyDescent="0.35">
      <c r="B61" s="4"/>
      <c r="C61" s="5"/>
      <c r="D61" s="1"/>
      <c r="E61" s="1"/>
      <c r="F61" s="1"/>
      <c r="G61" s="6"/>
      <c r="H61" s="1"/>
      <c r="I61" s="1"/>
      <c r="J61" s="1"/>
      <c r="K61" s="1"/>
      <c r="L61" s="6"/>
      <c r="M61" s="1"/>
      <c r="N61" s="1"/>
      <c r="O61" s="1"/>
    </row>
    <row r="62" spans="2:15" x14ac:dyDescent="0.35">
      <c r="B62" s="4"/>
      <c r="C62" s="5"/>
      <c r="D62" s="1"/>
      <c r="E62" s="1"/>
      <c r="F62" s="1"/>
      <c r="G62" s="6"/>
      <c r="H62" s="1"/>
      <c r="I62" s="1"/>
      <c r="J62" s="1"/>
      <c r="K62" s="1"/>
      <c r="L62" s="6"/>
      <c r="M62" s="1"/>
      <c r="N62" s="1"/>
      <c r="O62" s="1"/>
    </row>
    <row r="63" spans="2:15" x14ac:dyDescent="0.35">
      <c r="B63" s="4"/>
      <c r="C63" s="5"/>
      <c r="D63" s="1"/>
      <c r="E63" s="1"/>
      <c r="F63" s="1"/>
      <c r="G63" s="6"/>
      <c r="H63" s="1"/>
      <c r="I63" s="1"/>
      <c r="J63" s="1"/>
      <c r="K63" s="1"/>
      <c r="L63" s="6"/>
      <c r="M63" s="1"/>
      <c r="N63" s="1"/>
      <c r="O63" s="1"/>
    </row>
    <row r="64" spans="2:15" x14ac:dyDescent="0.35">
      <c r="B64" s="4"/>
      <c r="C64" s="5"/>
      <c r="D64" s="1"/>
      <c r="E64" s="1"/>
      <c r="F64" s="1"/>
      <c r="G64" s="6"/>
      <c r="H64" s="1"/>
      <c r="I64" s="1"/>
      <c r="J64" s="1"/>
      <c r="K64" s="1"/>
      <c r="L64" s="6"/>
      <c r="M64" s="1"/>
      <c r="N64" s="1"/>
      <c r="O64" s="1"/>
    </row>
    <row r="65" spans="2:15" x14ac:dyDescent="0.35">
      <c r="B65" s="4"/>
      <c r="C65" s="5"/>
      <c r="D65" s="1"/>
      <c r="E65" s="1"/>
      <c r="F65" s="1"/>
      <c r="G65" s="6"/>
      <c r="H65" s="1"/>
      <c r="I65" s="1"/>
      <c r="J65" s="1"/>
      <c r="K65" s="1"/>
      <c r="L65" s="6"/>
      <c r="M65" s="1"/>
      <c r="N65" s="1"/>
      <c r="O65" s="1"/>
    </row>
    <row r="66" spans="2:15" x14ac:dyDescent="0.35">
      <c r="B66" s="4"/>
      <c r="C66" s="5"/>
      <c r="D66" s="1"/>
      <c r="E66" s="1"/>
      <c r="F66" s="1"/>
      <c r="G66" s="6"/>
      <c r="H66" s="1"/>
      <c r="I66" s="1"/>
      <c r="J66" s="1"/>
      <c r="K66" s="1"/>
      <c r="L66" s="6"/>
      <c r="M66" s="1"/>
      <c r="N66" s="1"/>
      <c r="O66" s="1"/>
    </row>
    <row r="67" spans="2:15" x14ac:dyDescent="0.35">
      <c r="B67" s="4"/>
      <c r="C67" s="5"/>
      <c r="D67" s="1"/>
      <c r="E67" s="1"/>
      <c r="F67" s="1"/>
      <c r="G67" s="6"/>
      <c r="H67" s="1"/>
      <c r="I67" s="1"/>
      <c r="J67" s="1"/>
      <c r="K67" s="1"/>
      <c r="L67" s="6"/>
      <c r="M67" s="1"/>
      <c r="N67" s="1"/>
      <c r="O67" s="1"/>
    </row>
    <row r="68" spans="2:15" x14ac:dyDescent="0.35">
      <c r="B68" s="4"/>
      <c r="C68" s="5"/>
      <c r="D68" s="1"/>
      <c r="E68" s="1"/>
      <c r="F68" s="1"/>
      <c r="G68" s="6"/>
      <c r="H68" s="1"/>
      <c r="I68" s="1"/>
      <c r="J68" s="1"/>
      <c r="K68" s="1"/>
      <c r="L68" s="6"/>
      <c r="M68" s="1"/>
      <c r="N68" s="1"/>
      <c r="O68" s="1"/>
    </row>
    <row r="69" spans="2:15" x14ac:dyDescent="0.35">
      <c r="B69" s="4"/>
      <c r="C69" s="5"/>
      <c r="D69" s="1"/>
      <c r="E69" s="1"/>
      <c r="F69" s="1"/>
      <c r="G69" s="6"/>
      <c r="H69" s="1"/>
      <c r="I69" s="1"/>
      <c r="J69" s="1"/>
      <c r="K69" s="1"/>
      <c r="L69" s="6"/>
      <c r="M69" s="1"/>
      <c r="N69" s="1"/>
      <c r="O69" s="1"/>
    </row>
    <row r="70" spans="2:15" x14ac:dyDescent="0.35">
      <c r="B70" s="4"/>
      <c r="C70" s="5"/>
      <c r="D70" s="1"/>
      <c r="E70" s="1"/>
      <c r="F70" s="1"/>
      <c r="G70" s="6"/>
      <c r="H70" s="1"/>
      <c r="I70" s="1"/>
      <c r="J70" s="1"/>
      <c r="K70" s="1"/>
      <c r="L70" s="6"/>
      <c r="M70" s="1"/>
      <c r="N70" s="1"/>
      <c r="O70" s="1"/>
    </row>
    <row r="71" spans="2:15" x14ac:dyDescent="0.35">
      <c r="B71" s="4"/>
      <c r="C71" s="5"/>
      <c r="D71" s="1"/>
      <c r="E71" s="1"/>
      <c r="F71" s="1"/>
      <c r="G71" s="6"/>
      <c r="H71" s="1"/>
      <c r="I71" s="1"/>
      <c r="J71" s="1"/>
      <c r="K71" s="1"/>
      <c r="L71" s="6"/>
      <c r="M71" s="1"/>
      <c r="N71" s="1"/>
      <c r="O71" s="1"/>
    </row>
    <row r="72" spans="2:15" x14ac:dyDescent="0.35">
      <c r="B72" s="4"/>
      <c r="C72" s="5"/>
      <c r="D72" s="1"/>
      <c r="E72" s="1"/>
      <c r="F72" s="1"/>
      <c r="G72" s="6"/>
      <c r="H72" s="1"/>
      <c r="I72" s="1"/>
      <c r="J72" s="1"/>
      <c r="K72" s="1"/>
      <c r="L72" s="6"/>
      <c r="M72" s="1"/>
      <c r="N72" s="1"/>
      <c r="O72" s="1"/>
    </row>
    <row r="73" spans="2:15" x14ac:dyDescent="0.35">
      <c r="B73" s="4"/>
      <c r="C73" s="5"/>
      <c r="D73" s="1"/>
      <c r="E73" s="1"/>
      <c r="F73" s="1"/>
      <c r="G73" s="6"/>
      <c r="H73" s="1"/>
      <c r="I73" s="1"/>
      <c r="J73" s="1"/>
      <c r="K73" s="1"/>
      <c r="L73" s="6"/>
      <c r="M73" s="1"/>
      <c r="N73" s="1"/>
      <c r="O73" s="1"/>
    </row>
    <row r="74" spans="2:15" x14ac:dyDescent="0.35">
      <c r="B74" s="4"/>
      <c r="C74" s="5"/>
      <c r="D74" s="1"/>
      <c r="E74" s="1"/>
      <c r="F74" s="1"/>
      <c r="G74" s="6"/>
      <c r="H74" s="1"/>
      <c r="I74" s="1"/>
      <c r="J74" s="1"/>
      <c r="K74" s="1"/>
      <c r="L74" s="6"/>
      <c r="M74" s="1"/>
      <c r="N74" s="1"/>
      <c r="O74" s="1"/>
    </row>
    <row r="75" spans="2:15" x14ac:dyDescent="0.35">
      <c r="B75" s="4"/>
      <c r="C75" s="5"/>
      <c r="D75" s="1"/>
      <c r="E75" s="1"/>
      <c r="F75" s="1"/>
      <c r="G75" s="6"/>
      <c r="H75" s="1"/>
      <c r="I75" s="1"/>
      <c r="J75" s="1"/>
      <c r="K75" s="1"/>
      <c r="L75" s="6"/>
      <c r="M75" s="1"/>
      <c r="N75" s="1"/>
      <c r="O75" s="1"/>
    </row>
    <row r="76" spans="2:15" x14ac:dyDescent="0.35">
      <c r="B76" s="4"/>
      <c r="C76" s="5"/>
      <c r="D76" s="1"/>
      <c r="E76" s="1"/>
      <c r="F76" s="1"/>
      <c r="G76" s="6"/>
      <c r="H76" s="1"/>
      <c r="I76" s="1"/>
      <c r="J76" s="1"/>
      <c r="K76" s="1"/>
      <c r="L76" s="6"/>
      <c r="M76" s="1"/>
      <c r="N76" s="1"/>
      <c r="O76" s="1"/>
    </row>
    <row r="77" spans="2:15" x14ac:dyDescent="0.35">
      <c r="B77" s="4"/>
      <c r="C77" s="5"/>
      <c r="D77" s="1"/>
      <c r="E77" s="1"/>
      <c r="F77" s="1"/>
      <c r="G77" s="6"/>
      <c r="H77" s="1"/>
      <c r="I77" s="1"/>
      <c r="J77" s="1"/>
      <c r="K77" s="1"/>
      <c r="L77" s="6"/>
      <c r="M77" s="1"/>
      <c r="N77" s="1"/>
      <c r="O77" s="1"/>
    </row>
    <row r="78" spans="2:15" x14ac:dyDescent="0.35">
      <c r="B78" s="4"/>
      <c r="C78" s="5"/>
      <c r="D78" s="1"/>
      <c r="E78" s="1"/>
      <c r="F78" s="1"/>
      <c r="G78" s="6"/>
      <c r="H78" s="1"/>
      <c r="I78" s="1"/>
      <c r="J78" s="1"/>
      <c r="K78" s="1"/>
      <c r="L78" s="6"/>
      <c r="M78" s="1"/>
      <c r="N78" s="1"/>
      <c r="O78" s="1"/>
    </row>
    <row r="79" spans="2:15" x14ac:dyDescent="0.35">
      <c r="B79" s="4"/>
      <c r="C79" s="5"/>
      <c r="D79" s="1"/>
      <c r="E79" s="1"/>
      <c r="F79" s="1"/>
      <c r="G79" s="6"/>
      <c r="H79" s="1"/>
      <c r="I79" s="1"/>
      <c r="J79" s="1"/>
      <c r="K79" s="1"/>
      <c r="L79" s="6"/>
      <c r="M79" s="1"/>
      <c r="N79" s="1"/>
      <c r="O79" s="1"/>
    </row>
    <row r="80" spans="2:15" x14ac:dyDescent="0.35">
      <c r="B80" s="4"/>
      <c r="C80" s="5"/>
      <c r="D80" s="1"/>
      <c r="E80" s="1"/>
      <c r="F80" s="1"/>
      <c r="G80" s="6"/>
      <c r="H80" s="1"/>
      <c r="I80" s="1"/>
      <c r="J80" s="1"/>
      <c r="K80" s="1"/>
      <c r="L80" s="6"/>
      <c r="M80" s="1"/>
      <c r="N80" s="1"/>
      <c r="O80" s="1"/>
    </row>
    <row r="81" spans="2:15" x14ac:dyDescent="0.35">
      <c r="B81" s="4"/>
      <c r="C81" s="5"/>
      <c r="D81" s="1"/>
      <c r="E81" s="1"/>
      <c r="F81" s="1"/>
      <c r="G81" s="6"/>
      <c r="H81" s="1"/>
      <c r="I81" s="1"/>
      <c r="J81" s="1"/>
      <c r="K81" s="1"/>
      <c r="L81" s="6"/>
      <c r="M81" s="1"/>
      <c r="N81" s="1"/>
      <c r="O81" s="1"/>
    </row>
    <row r="82" spans="2:15" x14ac:dyDescent="0.35">
      <c r="B82" s="4"/>
      <c r="C82" s="5"/>
      <c r="D82" s="1"/>
      <c r="E82" s="1"/>
      <c r="F82" s="1"/>
      <c r="G82" s="6"/>
      <c r="H82" s="1"/>
      <c r="I82" s="1"/>
      <c r="J82" s="1"/>
      <c r="K82" s="1"/>
      <c r="L82" s="6"/>
      <c r="M82" s="1"/>
      <c r="N82" s="1"/>
      <c r="O82" s="1"/>
    </row>
    <row r="83" spans="2:15" x14ac:dyDescent="0.35">
      <c r="B83" s="4"/>
      <c r="C83" s="5"/>
      <c r="D83" s="1"/>
      <c r="E83" s="1"/>
      <c r="F83" s="1"/>
      <c r="G83" s="6"/>
      <c r="H83" s="1"/>
      <c r="I83" s="1"/>
      <c r="J83" s="1"/>
      <c r="K83" s="1"/>
      <c r="L83" s="6"/>
      <c r="M83" s="1"/>
      <c r="N83" s="1"/>
      <c r="O83" s="1"/>
    </row>
    <row r="84" spans="2:15" x14ac:dyDescent="0.35">
      <c r="B84" s="4"/>
      <c r="C84" s="5"/>
      <c r="D84" s="1"/>
      <c r="E84" s="1"/>
      <c r="F84" s="1"/>
      <c r="G84" s="6"/>
      <c r="H84" s="1"/>
      <c r="I84" s="1"/>
      <c r="J84" s="1"/>
      <c r="K84" s="1"/>
      <c r="L84" s="6"/>
      <c r="M84" s="1"/>
      <c r="N84" s="1"/>
      <c r="O84" s="1"/>
    </row>
    <row r="85" spans="2:15" x14ac:dyDescent="0.35">
      <c r="B85" s="4"/>
      <c r="C85" s="5"/>
      <c r="D85" s="1"/>
      <c r="E85" s="1"/>
      <c r="F85" s="1"/>
      <c r="G85" s="6"/>
      <c r="H85" s="1"/>
      <c r="I85" s="1"/>
      <c r="J85" s="1"/>
      <c r="K85" s="1"/>
      <c r="L85" s="6"/>
      <c r="M85" s="1"/>
      <c r="N85" s="1"/>
      <c r="O85" s="1"/>
    </row>
    <row r="86" spans="2:15" x14ac:dyDescent="0.35">
      <c r="B86" s="4"/>
      <c r="C86" s="5"/>
      <c r="D86" s="1"/>
      <c r="E86" s="1"/>
      <c r="F86" s="1"/>
      <c r="G86" s="6"/>
      <c r="H86" s="1"/>
      <c r="I86" s="1"/>
      <c r="J86" s="1"/>
      <c r="K86" s="1"/>
      <c r="L86" s="6"/>
      <c r="M86" s="1"/>
      <c r="N86" s="1"/>
      <c r="O86" s="1"/>
    </row>
    <row r="87" spans="2:15" x14ac:dyDescent="0.35">
      <c r="B87" s="4"/>
      <c r="C87" s="5"/>
      <c r="D87" s="1"/>
      <c r="E87" s="1"/>
      <c r="F87" s="1"/>
      <c r="G87" s="6"/>
      <c r="H87" s="1"/>
      <c r="I87" s="1"/>
      <c r="J87" s="1"/>
      <c r="K87" s="1"/>
      <c r="L87" s="6"/>
      <c r="M87" s="1"/>
      <c r="N87" s="1"/>
      <c r="O87" s="1"/>
    </row>
    <row r="88" spans="2:15" x14ac:dyDescent="0.35">
      <c r="B88" s="4"/>
      <c r="C88" s="5"/>
      <c r="D88" s="1"/>
      <c r="E88" s="1"/>
      <c r="F88" s="1"/>
      <c r="G88" s="6"/>
      <c r="H88" s="1"/>
      <c r="I88" s="1"/>
      <c r="J88" s="1"/>
      <c r="K88" s="1"/>
      <c r="L88" s="6"/>
      <c r="M88" s="1"/>
      <c r="N88" s="1"/>
      <c r="O88" s="1"/>
    </row>
    <row r="89" spans="2:15" x14ac:dyDescent="0.35">
      <c r="B89" s="4"/>
      <c r="C89" s="5"/>
      <c r="D89" s="1"/>
      <c r="E89" s="1"/>
      <c r="F89" s="1"/>
      <c r="G89" s="6"/>
      <c r="H89" s="1"/>
      <c r="I89" s="1"/>
      <c r="J89" s="1"/>
      <c r="K89" s="1"/>
      <c r="L89" s="6"/>
      <c r="M89" s="1"/>
      <c r="N89" s="1"/>
      <c r="O89" s="1"/>
    </row>
    <row r="90" spans="2:15" x14ac:dyDescent="0.35">
      <c r="B90" s="4"/>
      <c r="C90" s="5"/>
      <c r="D90" s="1"/>
      <c r="E90" s="1"/>
      <c r="F90" s="1"/>
      <c r="G90" s="6"/>
      <c r="H90" s="1"/>
      <c r="I90" s="1"/>
      <c r="J90" s="1"/>
      <c r="K90" s="1"/>
      <c r="L90" s="6"/>
      <c r="M90" s="1"/>
      <c r="N90" s="1"/>
      <c r="O90" s="1"/>
    </row>
    <row r="91" spans="2:15" x14ac:dyDescent="0.35">
      <c r="B91" s="4"/>
      <c r="C91" s="5"/>
      <c r="D91" s="1"/>
      <c r="E91" s="1"/>
      <c r="F91" s="1"/>
      <c r="G91" s="6"/>
      <c r="H91" s="1"/>
      <c r="I91" s="1"/>
      <c r="J91" s="1"/>
      <c r="K91" s="1"/>
      <c r="L91" s="6"/>
      <c r="M91" s="1"/>
      <c r="N91" s="1"/>
      <c r="O91" s="1"/>
    </row>
    <row r="92" spans="2:15" x14ac:dyDescent="0.35">
      <c r="B92" s="4"/>
      <c r="C92" s="5"/>
      <c r="D92" s="1"/>
      <c r="E92" s="1"/>
      <c r="F92" s="1"/>
      <c r="G92" s="6"/>
      <c r="H92" s="1"/>
      <c r="I92" s="1"/>
      <c r="J92" s="1"/>
      <c r="K92" s="1"/>
      <c r="L92" s="6"/>
      <c r="M92" s="1"/>
      <c r="N92" s="1"/>
      <c r="O92" s="1"/>
    </row>
    <row r="93" spans="2:15" x14ac:dyDescent="0.35">
      <c r="B93" s="4"/>
      <c r="C93" s="5"/>
      <c r="D93" s="1"/>
      <c r="E93" s="1"/>
      <c r="F93" s="1"/>
      <c r="G93" s="6"/>
      <c r="H93" s="1"/>
      <c r="I93" s="1"/>
      <c r="J93" s="1"/>
      <c r="K93" s="1"/>
      <c r="L93" s="6"/>
      <c r="M93" s="1"/>
      <c r="N93" s="1"/>
      <c r="O93" s="1"/>
    </row>
    <row r="94" spans="2:15" x14ac:dyDescent="0.35">
      <c r="B94" s="4"/>
      <c r="C94" s="5"/>
      <c r="D94" s="1"/>
      <c r="E94" s="1"/>
      <c r="F94" s="1"/>
      <c r="G94" s="6"/>
      <c r="H94" s="1"/>
      <c r="I94" s="1"/>
      <c r="J94" s="1"/>
      <c r="K94" s="1"/>
      <c r="L94" s="6"/>
      <c r="M94" s="1"/>
      <c r="N94" s="1"/>
      <c r="O94" s="1"/>
    </row>
    <row r="95" spans="2:15" x14ac:dyDescent="0.35">
      <c r="B95" s="4"/>
      <c r="C95" s="5"/>
      <c r="D95" s="1"/>
      <c r="E95" s="1"/>
      <c r="F95" s="1"/>
      <c r="G95" s="6"/>
      <c r="H95" s="1"/>
      <c r="I95" s="1"/>
      <c r="J95" s="1"/>
      <c r="K95" s="1"/>
      <c r="L95" s="6"/>
      <c r="M95" s="1"/>
      <c r="N95" s="1"/>
      <c r="O95" s="1"/>
    </row>
    <row r="96" spans="2:15" x14ac:dyDescent="0.35">
      <c r="B96" s="4"/>
      <c r="C96" s="5"/>
      <c r="D96" s="1"/>
      <c r="E96" s="1"/>
      <c r="F96" s="1"/>
      <c r="G96" s="6"/>
      <c r="H96" s="1"/>
      <c r="I96" s="1"/>
      <c r="J96" s="1"/>
      <c r="K96" s="1"/>
      <c r="L96" s="6"/>
      <c r="M96" s="1"/>
      <c r="N96" s="1"/>
      <c r="O96" s="1"/>
    </row>
    <row r="97" spans="2:15" x14ac:dyDescent="0.35">
      <c r="B97" s="4"/>
      <c r="C97" s="5"/>
      <c r="D97" s="1"/>
      <c r="E97" s="1"/>
      <c r="F97" s="1"/>
      <c r="G97" s="6"/>
      <c r="H97" s="1"/>
      <c r="I97" s="1"/>
      <c r="J97" s="1"/>
      <c r="K97" s="1"/>
      <c r="L97" s="6"/>
      <c r="M97" s="1"/>
      <c r="N97" s="1"/>
      <c r="O97" s="1"/>
    </row>
    <row r="98" spans="2:15" x14ac:dyDescent="0.35">
      <c r="B98" s="4"/>
      <c r="C98" s="5"/>
      <c r="D98" s="1"/>
      <c r="E98" s="1"/>
      <c r="F98" s="1"/>
      <c r="G98" s="6"/>
      <c r="H98" s="1"/>
      <c r="I98" s="1"/>
      <c r="J98" s="1"/>
      <c r="K98" s="1"/>
      <c r="L98" s="6"/>
      <c r="M98" s="1"/>
      <c r="N98" s="1"/>
      <c r="O98" s="1"/>
    </row>
    <row r="99" spans="2:15" x14ac:dyDescent="0.35">
      <c r="B99" s="4"/>
      <c r="C99" s="5"/>
      <c r="D99" s="1"/>
      <c r="E99" s="1"/>
      <c r="F99" s="1"/>
      <c r="G99" s="6"/>
      <c r="H99" s="1"/>
      <c r="I99" s="1"/>
      <c r="J99" s="1"/>
      <c r="K99" s="1"/>
      <c r="L99" s="6"/>
      <c r="M99" s="1"/>
      <c r="N99" s="1"/>
      <c r="O99" s="1"/>
    </row>
    <row r="100" spans="2:15" x14ac:dyDescent="0.35">
      <c r="B100" s="4"/>
      <c r="C100" s="5"/>
      <c r="D100" s="1"/>
      <c r="E100" s="1"/>
      <c r="F100" s="1"/>
      <c r="G100" s="6"/>
      <c r="H100" s="1"/>
      <c r="I100" s="1"/>
      <c r="J100" s="1"/>
      <c r="K100" s="1"/>
      <c r="L100" s="6"/>
      <c r="M100" s="1"/>
      <c r="N100" s="1"/>
      <c r="O100" s="1"/>
    </row>
  </sheetData>
  <dataConsolidate/>
  <conditionalFormatting sqref="J2:J100">
    <cfRule type="cellIs" dxfId="1" priority="2" operator="equal">
      <formula>TRUE</formula>
    </cfRule>
  </conditionalFormatting>
  <conditionalFormatting sqref="E2:E100">
    <cfRule type="cellIs" dxfId="0" priority="1" operator="equal">
      <formula>FALSE</formula>
    </cfRule>
  </conditionalFormatting>
  <pageMargins left="0.7" right="0.7" top="0.75" bottom="0.75" header="0.3" footer="0.3"/>
  <pageSetup paperSize="9" orientation="portrait"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UpdateMispEvents">
                <anchor>
                  <from>
                    <xdr:col>3</xdr:col>
                    <xdr:colOff>1463040</xdr:colOff>
                    <xdr:row>0</xdr:row>
                    <xdr:rowOff>137160</xdr:rowOff>
                  </from>
                  <to>
                    <xdr:col>5</xdr:col>
                    <xdr:colOff>327660</xdr:colOff>
                    <xdr:row>0</xdr:row>
                    <xdr:rowOff>487680</xdr:rowOff>
                  </to>
                </anchor>
              </controlPr>
            </control>
          </mc:Choice>
        </mc:AlternateContent>
        <mc:AlternateContent xmlns:mc="http://schemas.openxmlformats.org/markup-compatibility/2006">
          <mc:Choice Requires="x14">
            <control shapeId="2050" r:id="rId5" name="Button 2">
              <controlPr defaultSize="0" print="0" autoFill="0" autoPict="0" macro="[0]!UpdateMispEventList">
                <anchor>
                  <from>
                    <xdr:col>1</xdr:col>
                    <xdr:colOff>457200</xdr:colOff>
                    <xdr:row>0</xdr:row>
                    <xdr:rowOff>121920</xdr:rowOff>
                  </from>
                  <to>
                    <xdr:col>3</xdr:col>
                    <xdr:colOff>1341120</xdr:colOff>
                    <xdr:row>0</xdr:row>
                    <xdr:rowOff>502920</xdr:rowOff>
                  </to>
                </anchor>
              </controlPr>
            </control>
          </mc:Choice>
        </mc:AlternateContent>
        <mc:AlternateContent xmlns:mc="http://schemas.openxmlformats.org/markup-compatibility/2006">
          <mc:Choice Requires="x14">
            <control shapeId="2051" r:id="rId6" name="Button 3">
              <controlPr defaultSize="0" print="0" autoFill="0" autoPict="0" macro="[0]!UpdateMispEventListBasedOnSearch">
                <anchor>
                  <from>
                    <xdr:col>5</xdr:col>
                    <xdr:colOff>716280</xdr:colOff>
                    <xdr:row>0</xdr:row>
                    <xdr:rowOff>144780</xdr:rowOff>
                  </from>
                  <to>
                    <xdr:col>6</xdr:col>
                    <xdr:colOff>1036320</xdr:colOff>
                    <xdr:row>0</xdr:row>
                    <xdr:rowOff>464820</xdr:rowOff>
                  </to>
                </anchor>
              </controlPr>
            </control>
          </mc:Choice>
        </mc:AlternateContent>
        <mc:AlternateContent xmlns:mc="http://schemas.openxmlformats.org/markup-compatibility/2006">
          <mc:Choice Requires="x14">
            <control shapeId="2052" r:id="rId7" name="Button 4">
              <controlPr defaultSize="0" print="0" autoFill="0" autoPict="0" macro="[0]!RetrieveMispEvent">
                <anchor>
                  <from>
                    <xdr:col>7</xdr:col>
                    <xdr:colOff>617220</xdr:colOff>
                    <xdr:row>0</xdr:row>
                    <xdr:rowOff>152400</xdr:rowOff>
                  </from>
                  <to>
                    <xdr:col>9</xdr:col>
                    <xdr:colOff>868680</xdr:colOff>
                    <xdr:row>0</xdr:row>
                    <xdr:rowOff>464820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2:E70"/>
  <sheetViews>
    <sheetView tabSelected="1" workbookViewId="0">
      <selection activeCell="C2" sqref="C2"/>
    </sheetView>
  </sheetViews>
  <sheetFormatPr baseColWidth="10" defaultRowHeight="14.4" x14ac:dyDescent="0.3"/>
  <cols>
    <col min="1" max="1" width="17.109375" customWidth="1"/>
    <col min="2" max="2" width="39.5546875" customWidth="1"/>
    <col min="3" max="3" width="62.44140625" bestFit="1" customWidth="1"/>
    <col min="4" max="4" width="38" customWidth="1"/>
  </cols>
  <sheetData>
    <row r="2" spans="1:4" x14ac:dyDescent="0.3">
      <c r="A2" s="25" t="s">
        <v>47</v>
      </c>
      <c r="B2" t="s">
        <v>48</v>
      </c>
      <c r="C2" t="s">
        <v>49</v>
      </c>
    </row>
    <row r="3" spans="1:4" x14ac:dyDescent="0.3">
      <c r="A3" s="25"/>
      <c r="B3" t="s">
        <v>50</v>
      </c>
      <c r="C3" t="s">
        <v>51</v>
      </c>
    </row>
    <row r="4" spans="1:4" x14ac:dyDescent="0.3">
      <c r="A4" s="25"/>
      <c r="B4" t="s">
        <v>52</v>
      </c>
      <c r="C4" t="s">
        <v>53</v>
      </c>
    </row>
    <row r="5" spans="1:4" x14ac:dyDescent="0.3">
      <c r="A5" s="25"/>
      <c r="B5" t="s">
        <v>54</v>
      </c>
      <c r="C5" t="s">
        <v>55</v>
      </c>
    </row>
    <row r="6" spans="1:4" x14ac:dyDescent="0.3">
      <c r="A6" s="25"/>
      <c r="B6" t="s">
        <v>56</v>
      </c>
      <c r="C6" s="18">
        <v>7</v>
      </c>
    </row>
    <row r="7" spans="1:4" x14ac:dyDescent="0.3">
      <c r="C7" s="18"/>
    </row>
    <row r="8" spans="1:4" x14ac:dyDescent="0.3">
      <c r="C8" s="18"/>
    </row>
    <row r="9" spans="1:4" x14ac:dyDescent="0.3">
      <c r="A9" s="25" t="s">
        <v>57</v>
      </c>
      <c r="B9" t="s">
        <v>58</v>
      </c>
      <c r="C9" s="18" t="b">
        <v>1</v>
      </c>
      <c r="D9" t="s">
        <v>59</v>
      </c>
    </row>
    <row r="10" spans="1:4" x14ac:dyDescent="0.3">
      <c r="A10" s="25"/>
      <c r="B10" t="s">
        <v>60</v>
      </c>
      <c r="C10" s="19" t="s">
        <v>61</v>
      </c>
    </row>
    <row r="11" spans="1:4" x14ac:dyDescent="0.3">
      <c r="A11" s="25"/>
      <c r="B11" t="s">
        <v>62</v>
      </c>
      <c r="C11" s="18"/>
    </row>
    <row r="12" spans="1:4" x14ac:dyDescent="0.3">
      <c r="A12" s="25"/>
      <c r="B12" t="s">
        <v>63</v>
      </c>
      <c r="C12" s="18"/>
    </row>
    <row r="13" spans="1:4" x14ac:dyDescent="0.3">
      <c r="A13" s="25"/>
      <c r="B13" t="s">
        <v>64</v>
      </c>
      <c r="C13" s="18"/>
    </row>
    <row r="14" spans="1:4" x14ac:dyDescent="0.3">
      <c r="A14" s="25"/>
      <c r="B14" t="s">
        <v>65</v>
      </c>
      <c r="C14" s="18"/>
      <c r="D14" t="s">
        <v>66</v>
      </c>
    </row>
    <row r="15" spans="1:4" x14ac:dyDescent="0.3">
      <c r="A15" s="25"/>
      <c r="B15" t="s">
        <v>67</v>
      </c>
      <c r="C15" s="18" t="b">
        <v>0</v>
      </c>
      <c r="D15" t="s">
        <v>68</v>
      </c>
    </row>
    <row r="16" spans="1:4" x14ac:dyDescent="0.3">
      <c r="A16" s="25"/>
      <c r="B16" t="s">
        <v>69</v>
      </c>
      <c r="C16" s="20">
        <v>30000</v>
      </c>
      <c r="D16" t="s">
        <v>136</v>
      </c>
    </row>
    <row r="17" spans="1:4" x14ac:dyDescent="0.3">
      <c r="A17" s="25"/>
      <c r="B17" t="s">
        <v>70</v>
      </c>
      <c r="C17" s="18" t="b">
        <v>0</v>
      </c>
      <c r="D17" t="s">
        <v>71</v>
      </c>
    </row>
    <row r="18" spans="1:4" x14ac:dyDescent="0.3">
      <c r="A18" s="21"/>
      <c r="C18" s="18"/>
    </row>
    <row r="19" spans="1:4" x14ac:dyDescent="0.3">
      <c r="A19" s="21"/>
      <c r="C19" s="18"/>
    </row>
    <row r="20" spans="1:4" x14ac:dyDescent="0.3">
      <c r="A20" s="25" t="s">
        <v>72</v>
      </c>
      <c r="B20" t="s">
        <v>73</v>
      </c>
      <c r="C20" s="22">
        <v>60</v>
      </c>
    </row>
    <row r="21" spans="1:4" x14ac:dyDescent="0.3">
      <c r="A21" s="25"/>
      <c r="B21" t="s">
        <v>74</v>
      </c>
      <c r="C21" s="22" t="b">
        <f>TRUE</f>
        <v>1</v>
      </c>
      <c r="D21" t="s">
        <v>75</v>
      </c>
    </row>
    <row r="22" spans="1:4" x14ac:dyDescent="0.3">
      <c r="A22" s="25"/>
      <c r="B22" t="s">
        <v>76</v>
      </c>
      <c r="C22" s="23">
        <v>6</v>
      </c>
      <c r="D22" t="s">
        <v>77</v>
      </c>
    </row>
    <row r="23" spans="1:4" x14ac:dyDescent="0.3">
      <c r="C23" s="18"/>
    </row>
    <row r="25" spans="1:4" x14ac:dyDescent="0.3">
      <c r="A25" s="25" t="s">
        <v>78</v>
      </c>
      <c r="B25" t="s">
        <v>79</v>
      </c>
      <c r="C25" t="s">
        <v>80</v>
      </c>
    </row>
    <row r="26" spans="1:4" x14ac:dyDescent="0.3">
      <c r="A26" s="25"/>
    </row>
    <row r="27" spans="1:4" x14ac:dyDescent="0.3">
      <c r="A27" s="25"/>
      <c r="B27" t="s">
        <v>81</v>
      </c>
      <c r="C27" t="s">
        <v>82</v>
      </c>
    </row>
    <row r="28" spans="1:4" x14ac:dyDescent="0.3">
      <c r="A28" s="25"/>
      <c r="C28" t="s">
        <v>83</v>
      </c>
    </row>
    <row r="31" spans="1:4" x14ac:dyDescent="0.3">
      <c r="A31" s="25" t="s">
        <v>84</v>
      </c>
      <c r="B31" t="s">
        <v>85</v>
      </c>
      <c r="C31" t="s">
        <v>86</v>
      </c>
    </row>
    <row r="32" spans="1:4" x14ac:dyDescent="0.3">
      <c r="A32" s="25"/>
      <c r="B32" t="s">
        <v>87</v>
      </c>
      <c r="C32" t="s">
        <v>88</v>
      </c>
    </row>
    <row r="33" spans="1:4" x14ac:dyDescent="0.3">
      <c r="A33" s="25"/>
      <c r="B33" t="s">
        <v>89</v>
      </c>
      <c r="C33" t="s">
        <v>90</v>
      </c>
    </row>
    <row r="34" spans="1:4" x14ac:dyDescent="0.3">
      <c r="A34" s="25"/>
      <c r="B34" t="s">
        <v>91</v>
      </c>
      <c r="C34" t="s">
        <v>92</v>
      </c>
    </row>
    <row r="35" spans="1:4" x14ac:dyDescent="0.3">
      <c r="A35" s="25"/>
      <c r="B35" t="s">
        <v>93</v>
      </c>
      <c r="C35" t="s">
        <v>94</v>
      </c>
    </row>
    <row r="38" spans="1:4" x14ac:dyDescent="0.3">
      <c r="A38" s="24" t="s">
        <v>95</v>
      </c>
      <c r="B38">
        <v>1</v>
      </c>
      <c r="C38" t="s">
        <v>96</v>
      </c>
      <c r="D38" t="s">
        <v>97</v>
      </c>
    </row>
    <row r="39" spans="1:4" x14ac:dyDescent="0.3">
      <c r="A39" s="24"/>
      <c r="B39">
        <v>1</v>
      </c>
      <c r="C39" t="s">
        <v>98</v>
      </c>
      <c r="D39" t="s">
        <v>99</v>
      </c>
    </row>
    <row r="40" spans="1:4" x14ac:dyDescent="0.3">
      <c r="A40" s="24"/>
      <c r="B40">
        <v>2</v>
      </c>
      <c r="C40" t="s">
        <v>100</v>
      </c>
      <c r="D40" t="s">
        <v>99</v>
      </c>
    </row>
    <row r="41" spans="1:4" x14ac:dyDescent="0.3">
      <c r="A41" s="24"/>
      <c r="B41">
        <v>2</v>
      </c>
      <c r="C41" t="s">
        <v>101</v>
      </c>
      <c r="D41" t="s">
        <v>102</v>
      </c>
    </row>
    <row r="42" spans="1:4" x14ac:dyDescent="0.3">
      <c r="A42" s="24"/>
      <c r="B42">
        <v>3</v>
      </c>
      <c r="C42" t="s">
        <v>103</v>
      </c>
      <c r="D42" t="s">
        <v>99</v>
      </c>
    </row>
    <row r="43" spans="1:4" x14ac:dyDescent="0.3">
      <c r="A43" s="24"/>
      <c r="B43">
        <v>3</v>
      </c>
      <c r="C43" t="s">
        <v>104</v>
      </c>
      <c r="D43" t="s">
        <v>105</v>
      </c>
    </row>
    <row r="44" spans="1:4" x14ac:dyDescent="0.3">
      <c r="A44" s="24"/>
      <c r="B44">
        <v>3</v>
      </c>
      <c r="C44" t="s">
        <v>106</v>
      </c>
    </row>
    <row r="45" spans="1:4" x14ac:dyDescent="0.3">
      <c r="A45" s="24"/>
      <c r="B45">
        <v>3</v>
      </c>
      <c r="C45" t="s">
        <v>107</v>
      </c>
      <c r="D45" t="s">
        <v>105</v>
      </c>
    </row>
    <row r="46" spans="1:4" x14ac:dyDescent="0.3">
      <c r="A46" s="24"/>
      <c r="B46">
        <v>3</v>
      </c>
      <c r="C46" t="s">
        <v>108</v>
      </c>
    </row>
    <row r="47" spans="1:4" x14ac:dyDescent="0.3">
      <c r="A47" s="24"/>
      <c r="B47">
        <v>3</v>
      </c>
      <c r="C47" t="s">
        <v>109</v>
      </c>
    </row>
    <row r="48" spans="1:4" x14ac:dyDescent="0.3">
      <c r="A48" s="24"/>
      <c r="B48">
        <v>3</v>
      </c>
      <c r="C48" t="s">
        <v>110</v>
      </c>
    </row>
    <row r="49" spans="1:5" x14ac:dyDescent="0.3">
      <c r="A49" s="24"/>
      <c r="B49">
        <v>3</v>
      </c>
      <c r="C49" t="s">
        <v>111</v>
      </c>
    </row>
    <row r="50" spans="1:5" x14ac:dyDescent="0.3">
      <c r="A50" s="24"/>
      <c r="B50">
        <v>3</v>
      </c>
      <c r="C50" t="s">
        <v>112</v>
      </c>
      <c r="D50" t="s">
        <v>113</v>
      </c>
    </row>
    <row r="51" spans="1:5" x14ac:dyDescent="0.3">
      <c r="A51" s="24"/>
      <c r="B51">
        <v>3</v>
      </c>
      <c r="C51" t="s">
        <v>114</v>
      </c>
    </row>
    <row r="52" spans="1:5" x14ac:dyDescent="0.3">
      <c r="A52" s="24"/>
      <c r="B52">
        <v>3</v>
      </c>
      <c r="C52" t="s">
        <v>115</v>
      </c>
      <c r="D52" t="s">
        <v>116</v>
      </c>
    </row>
    <row r="53" spans="1:5" x14ac:dyDescent="0.3">
      <c r="A53" s="24"/>
      <c r="B53">
        <v>5</v>
      </c>
      <c r="C53" t="s">
        <v>117</v>
      </c>
    </row>
    <row r="55" spans="1:5" x14ac:dyDescent="0.3">
      <c r="A55" t="s">
        <v>118</v>
      </c>
      <c r="B55" t="s">
        <v>119</v>
      </c>
      <c r="C55">
        <v>1</v>
      </c>
      <c r="D55" t="s">
        <v>120</v>
      </c>
      <c r="E55" t="str">
        <f>C55&amp;" - "&amp;D55</f>
        <v>1 - High</v>
      </c>
    </row>
    <row r="56" spans="1:5" x14ac:dyDescent="0.3">
      <c r="B56" t="s">
        <v>119</v>
      </c>
      <c r="C56">
        <v>2</v>
      </c>
      <c r="D56" t="s">
        <v>121</v>
      </c>
      <c r="E56" t="str">
        <f t="shared" ref="E56:E65" si="0">C56&amp;" - "&amp;D56</f>
        <v>2 - Medium</v>
      </c>
    </row>
    <row r="57" spans="1:5" x14ac:dyDescent="0.3">
      <c r="B57" t="s">
        <v>119</v>
      </c>
      <c r="C57">
        <v>3</v>
      </c>
      <c r="D57" t="s">
        <v>122</v>
      </c>
      <c r="E57" t="str">
        <f t="shared" si="0"/>
        <v>3 - Low</v>
      </c>
    </row>
    <row r="58" spans="1:5" x14ac:dyDescent="0.3">
      <c r="B58" t="s">
        <v>119</v>
      </c>
      <c r="C58">
        <v>4</v>
      </c>
      <c r="D58" t="s">
        <v>123</v>
      </c>
      <c r="E58" t="str">
        <f t="shared" si="0"/>
        <v>4 - Undefined</v>
      </c>
    </row>
    <row r="59" spans="1:5" x14ac:dyDescent="0.3">
      <c r="B59" t="s">
        <v>124</v>
      </c>
      <c r="C59">
        <v>0</v>
      </c>
      <c r="D59" t="s">
        <v>125</v>
      </c>
      <c r="E59" t="str">
        <f t="shared" si="0"/>
        <v>0 - Initial</v>
      </c>
    </row>
    <row r="60" spans="1:5" x14ac:dyDescent="0.3">
      <c r="B60" t="s">
        <v>124</v>
      </c>
      <c r="C60">
        <v>1</v>
      </c>
      <c r="D60" t="s">
        <v>126</v>
      </c>
      <c r="E60" t="str">
        <f t="shared" si="0"/>
        <v>1 - Ongoing</v>
      </c>
    </row>
    <row r="61" spans="1:5" x14ac:dyDescent="0.3">
      <c r="B61" t="s">
        <v>124</v>
      </c>
      <c r="C61">
        <v>2</v>
      </c>
      <c r="D61" t="s">
        <v>127</v>
      </c>
      <c r="E61" t="str">
        <f t="shared" si="0"/>
        <v>2 - Completed</v>
      </c>
    </row>
    <row r="62" spans="1:5" x14ac:dyDescent="0.3">
      <c r="B62" t="s">
        <v>128</v>
      </c>
      <c r="C62">
        <v>0</v>
      </c>
      <c r="D62" t="s">
        <v>129</v>
      </c>
      <c r="E62" t="str">
        <f t="shared" si="0"/>
        <v>0 - Your organisation only</v>
      </c>
    </row>
    <row r="63" spans="1:5" x14ac:dyDescent="0.3">
      <c r="B63" t="s">
        <v>128</v>
      </c>
      <c r="C63">
        <v>1</v>
      </c>
      <c r="D63" t="s">
        <v>130</v>
      </c>
      <c r="E63" t="str">
        <f t="shared" si="0"/>
        <v>1 - This community only</v>
      </c>
    </row>
    <row r="64" spans="1:5" x14ac:dyDescent="0.3">
      <c r="B64" t="s">
        <v>128</v>
      </c>
      <c r="C64">
        <v>2</v>
      </c>
      <c r="D64" t="s">
        <v>131</v>
      </c>
      <c r="E64" t="str">
        <f t="shared" si="0"/>
        <v>2 - Connected Communities</v>
      </c>
    </row>
    <row r="65" spans="1:5" x14ac:dyDescent="0.3">
      <c r="B65" t="s">
        <v>128</v>
      </c>
      <c r="C65">
        <v>3</v>
      </c>
      <c r="D65" t="s">
        <v>132</v>
      </c>
      <c r="E65" t="str">
        <f t="shared" si="0"/>
        <v>3 - All communities</v>
      </c>
    </row>
    <row r="69" spans="1:5" x14ac:dyDescent="0.3">
      <c r="A69" t="s">
        <v>133</v>
      </c>
    </row>
    <row r="70" spans="1:5" x14ac:dyDescent="0.3">
      <c r="A70" t="s">
        <v>0</v>
      </c>
      <c r="B70" t="s">
        <v>134</v>
      </c>
      <c r="C70" t="s">
        <v>135</v>
      </c>
    </row>
  </sheetData>
  <dataConsolidate/>
  <mergeCells count="6">
    <mergeCell ref="A38:A53"/>
    <mergeCell ref="A2:A6"/>
    <mergeCell ref="A9:A17"/>
    <mergeCell ref="A20:A22"/>
    <mergeCell ref="A25:A28"/>
    <mergeCell ref="A31:A35"/>
  </mergeCells>
  <hyperlinks>
    <hyperlink ref="C10" r:id="rId1"/>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etMispTags">
                <anchor moveWithCells="1" sizeWithCells="1">
                  <from>
                    <xdr:col>2</xdr:col>
                    <xdr:colOff>30480</xdr:colOff>
                    <xdr:row>68</xdr:row>
                    <xdr:rowOff>22860</xdr:rowOff>
                  </from>
                  <to>
                    <xdr:col>2</xdr:col>
                    <xdr:colOff>2842260</xdr:colOff>
                    <xdr:row>69</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I19"/>
  <sheetViews>
    <sheetView workbookViewId="0">
      <selection activeCell="H15" sqref="H15"/>
    </sheetView>
  </sheetViews>
  <sheetFormatPr baseColWidth="10" defaultRowHeight="14.4" x14ac:dyDescent="0.3"/>
  <cols>
    <col min="1" max="1" width="23.5546875" bestFit="1" customWidth="1"/>
    <col min="2" max="2" width="15.6640625" bestFit="1" customWidth="1"/>
    <col min="3" max="4" width="8.6640625" bestFit="1" customWidth="1"/>
    <col min="5" max="6" width="32.5546875" customWidth="1"/>
    <col min="7" max="8" width="12.88671875" customWidth="1"/>
    <col min="9" max="9" width="17.88671875" bestFit="1" customWidth="1"/>
  </cols>
  <sheetData>
    <row r="1" spans="1:5" x14ac:dyDescent="0.3">
      <c r="A1" t="s">
        <v>0</v>
      </c>
      <c r="B1" s="26"/>
      <c r="C1" s="26"/>
      <c r="D1" s="26"/>
      <c r="E1" s="26"/>
    </row>
    <row r="2" spans="1:5" x14ac:dyDescent="0.3">
      <c r="A2" t="s">
        <v>1</v>
      </c>
      <c r="B2" s="8"/>
      <c r="C2" s="8"/>
      <c r="D2" s="8"/>
      <c r="E2" s="8"/>
    </row>
    <row r="3" spans="1:5" x14ac:dyDescent="0.3">
      <c r="A3" t="s">
        <v>2</v>
      </c>
      <c r="B3" s="27"/>
      <c r="C3" s="26"/>
      <c r="D3" s="26"/>
      <c r="E3" s="26"/>
    </row>
    <row r="4" spans="1:5" x14ac:dyDescent="0.3">
      <c r="A4" t="s">
        <v>3</v>
      </c>
      <c r="B4" s="26"/>
      <c r="C4" s="26"/>
      <c r="D4" s="26"/>
      <c r="E4" s="26"/>
    </row>
    <row r="5" spans="1:5" x14ac:dyDescent="0.3">
      <c r="A5" t="s">
        <v>4</v>
      </c>
      <c r="B5" s="26"/>
      <c r="C5" s="26"/>
      <c r="D5" s="26"/>
      <c r="E5" s="26"/>
    </row>
    <row r="6" spans="1:5" x14ac:dyDescent="0.3">
      <c r="A6" t="s">
        <v>5</v>
      </c>
      <c r="B6" s="26"/>
      <c r="C6" s="26"/>
      <c r="D6" s="26"/>
      <c r="E6" s="26"/>
    </row>
    <row r="7" spans="1:5" x14ac:dyDescent="0.3">
      <c r="A7" t="s">
        <v>6</v>
      </c>
      <c r="B7" s="26"/>
      <c r="C7" s="26"/>
      <c r="D7" s="9"/>
      <c r="E7" s="10"/>
    </row>
    <row r="8" spans="1:5" x14ac:dyDescent="0.3">
      <c r="A8" t="s">
        <v>7</v>
      </c>
      <c r="B8" s="26"/>
      <c r="C8" s="26"/>
      <c r="D8" s="26"/>
      <c r="E8" s="26"/>
    </row>
    <row r="9" spans="1:5" x14ac:dyDescent="0.3">
      <c r="A9" t="s">
        <v>8</v>
      </c>
      <c r="B9" s="26"/>
      <c r="C9" s="26"/>
      <c r="E9" s="11" t="s">
        <v>15</v>
      </c>
    </row>
    <row r="10" spans="1:5" x14ac:dyDescent="0.3">
      <c r="A10" t="s">
        <v>9</v>
      </c>
      <c r="B10" s="26"/>
      <c r="C10" s="26"/>
      <c r="D10" s="12" t="str">
        <f>IF(B10,COUNTIF(A:A,"ShadowAttribute")&amp;" PENDING PROPOSAL(s)","")</f>
        <v/>
      </c>
      <c r="E10" s="11"/>
    </row>
    <row r="11" spans="1:5" x14ac:dyDescent="0.3">
      <c r="A11" t="s">
        <v>10</v>
      </c>
      <c r="B11" s="26"/>
      <c r="C11" s="26"/>
      <c r="E11" s="11"/>
    </row>
    <row r="12" spans="1:5" x14ac:dyDescent="0.3">
      <c r="A12" t="s">
        <v>11</v>
      </c>
      <c r="B12" s="26"/>
      <c r="C12" s="26"/>
      <c r="D12" s="9"/>
      <c r="E12" s="10"/>
    </row>
    <row r="13" spans="1:5" x14ac:dyDescent="0.3">
      <c r="A13" t="s">
        <v>12</v>
      </c>
      <c r="B13" s="26"/>
      <c r="C13" s="26"/>
      <c r="E13" s="11" t="s">
        <v>16</v>
      </c>
    </row>
    <row r="14" spans="1:5" x14ac:dyDescent="0.3">
      <c r="A14" t="s">
        <v>13</v>
      </c>
      <c r="B14" s="26"/>
      <c r="C14" s="26"/>
      <c r="D14" s="26"/>
      <c r="E14" s="26"/>
    </row>
    <row r="15" spans="1:5" x14ac:dyDescent="0.3">
      <c r="A15" t="s">
        <v>17</v>
      </c>
      <c r="B15" s="8"/>
      <c r="C15" s="8"/>
      <c r="D15" s="8"/>
      <c r="E15" s="8"/>
    </row>
    <row r="16" spans="1:5" x14ac:dyDescent="0.3">
      <c r="A16" t="s">
        <v>18</v>
      </c>
      <c r="B16" s="26"/>
      <c r="C16" s="26"/>
      <c r="D16" s="26"/>
      <c r="E16" s="26"/>
    </row>
    <row r="19" spans="1:9" x14ac:dyDescent="0.3">
      <c r="A19" s="13" t="s">
        <v>19</v>
      </c>
      <c r="B19" s="13" t="s">
        <v>20</v>
      </c>
      <c r="C19" s="13" t="s">
        <v>21</v>
      </c>
      <c r="D19" s="13" t="s">
        <v>22</v>
      </c>
      <c r="E19" s="13" t="s">
        <v>23</v>
      </c>
      <c r="F19" s="13" t="s">
        <v>24</v>
      </c>
      <c r="G19" s="13" t="s">
        <v>0</v>
      </c>
      <c r="H19" s="13" t="s">
        <v>7</v>
      </c>
      <c r="I19" s="13" t="s">
        <v>6</v>
      </c>
    </row>
  </sheetData>
  <autoFilter ref="B19:I19"/>
  <mergeCells count="21">
    <mergeCell ref="B9:C9"/>
    <mergeCell ref="B1:C1"/>
    <mergeCell ref="D1:E1"/>
    <mergeCell ref="B3:C3"/>
    <mergeCell ref="D3:E3"/>
    <mergeCell ref="B4:E4"/>
    <mergeCell ref="B5:C5"/>
    <mergeCell ref="D5:E5"/>
    <mergeCell ref="B6:C6"/>
    <mergeCell ref="D6:E6"/>
    <mergeCell ref="B7:C7"/>
    <mergeCell ref="B8:C8"/>
    <mergeCell ref="D8:E8"/>
    <mergeCell ref="B16:C16"/>
    <mergeCell ref="D16:E16"/>
    <mergeCell ref="B10:C10"/>
    <mergeCell ref="B11:C11"/>
    <mergeCell ref="B12:C12"/>
    <mergeCell ref="B13:C13"/>
    <mergeCell ref="B14:C14"/>
    <mergeCell ref="D14:E14"/>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UpdateThisMispEvent">
                <anchor>
                  <from>
                    <xdr:col>4</xdr:col>
                    <xdr:colOff>0</xdr:colOff>
                    <xdr:row>0</xdr:row>
                    <xdr:rowOff>53340</xdr:rowOff>
                  </from>
                  <to>
                    <xdr:col>6</xdr:col>
                    <xdr:colOff>670560</xdr:colOff>
                    <xdr:row>2</xdr:row>
                    <xdr:rowOff>160020</xdr:rowOff>
                  </to>
                </anchor>
              </controlPr>
            </control>
          </mc:Choice>
        </mc:AlternateContent>
        <mc:AlternateContent xmlns:mc="http://schemas.openxmlformats.org/markup-compatibility/2006">
          <mc:Choice Requires="x14">
            <control shapeId="3074" r:id="rId5" name="Button 2">
              <controlPr defaultSize="0" print="0" autoFill="0" autoPict="0" macro="[0]!AcceptPendingSubmissions">
                <anchor>
                  <from>
                    <xdr:col>5</xdr:col>
                    <xdr:colOff>975360</xdr:colOff>
                    <xdr:row>3</xdr:row>
                    <xdr:rowOff>106680</xdr:rowOff>
                  </from>
                  <to>
                    <xdr:col>6</xdr:col>
                    <xdr:colOff>662940</xdr:colOff>
                    <xdr:row>5</xdr:row>
                    <xdr:rowOff>175260</xdr:rowOff>
                  </to>
                </anchor>
              </controlPr>
            </control>
          </mc:Choice>
        </mc:AlternateContent>
        <mc:AlternateContent xmlns:mc="http://schemas.openxmlformats.org/markup-compatibility/2006">
          <mc:Choice Requires="x14">
            <control shapeId="3075" r:id="rId6" name="Button 3">
              <controlPr defaultSize="0" print="0" autoFill="0" autoPict="0" macro="[0]!PublishCurrentMispEvent">
                <anchor>
                  <from>
                    <xdr:col>5</xdr:col>
                    <xdr:colOff>982980</xdr:colOff>
                    <xdr:row>6</xdr:row>
                    <xdr:rowOff>68580</xdr:rowOff>
                  </from>
                  <to>
                    <xdr:col>6</xdr:col>
                    <xdr:colOff>678180</xdr:colOff>
                    <xdr:row>8</xdr:row>
                    <xdr:rowOff>106680</xdr:rowOff>
                  </to>
                </anchor>
              </controlPr>
            </control>
          </mc:Choice>
        </mc:AlternateContent>
        <mc:AlternateContent xmlns:mc="http://schemas.openxmlformats.org/markup-compatibility/2006">
          <mc:Choice Requires="x14">
            <control shapeId="3076" r:id="rId7" name="Button 4">
              <controlPr defaultSize="0" print="0" autoFill="0" autoPict="0" macro="[0]!ProposeAttributes">
                <anchor>
                  <from>
                    <xdr:col>7</xdr:col>
                    <xdr:colOff>15240</xdr:colOff>
                    <xdr:row>3</xdr:row>
                    <xdr:rowOff>106680</xdr:rowOff>
                  </from>
                  <to>
                    <xdr:col>8</xdr:col>
                    <xdr:colOff>1051560</xdr:colOff>
                    <xdr:row>5</xdr:row>
                    <xdr:rowOff>175260</xdr:rowOff>
                  </to>
                </anchor>
              </controlPr>
            </control>
          </mc:Choice>
        </mc:AlternateContent>
        <mc:AlternateContent xmlns:mc="http://schemas.openxmlformats.org/markup-compatibility/2006">
          <mc:Choice Requires="x14">
            <control shapeId="3077" r:id="rId8" name="Button 5">
              <controlPr defaultSize="0" print="0" autoFill="0" autoPict="0" macro="[0]!ProposeAttachment">
                <anchor>
                  <from>
                    <xdr:col>7</xdr:col>
                    <xdr:colOff>7620</xdr:colOff>
                    <xdr:row>6</xdr:row>
                    <xdr:rowOff>53340</xdr:rowOff>
                  </from>
                  <to>
                    <xdr:col>8</xdr:col>
                    <xdr:colOff>1043940</xdr:colOff>
                    <xdr:row>8</xdr:row>
                    <xdr:rowOff>121920</xdr:rowOff>
                  </to>
                </anchor>
              </controlPr>
            </control>
          </mc:Choice>
        </mc:AlternateContent>
        <mc:AlternateContent xmlns:mc="http://schemas.openxmlformats.org/markup-compatibility/2006">
          <mc:Choice Requires="x14">
            <control shapeId="3078" r:id="rId9" name="Button 6">
              <controlPr defaultSize="0" print="0" autoFill="0" autoPict="0" macro="[0]!UseThisEventAsTemplate">
                <anchor>
                  <from>
                    <xdr:col>5</xdr:col>
                    <xdr:colOff>982980</xdr:colOff>
                    <xdr:row>10</xdr:row>
                    <xdr:rowOff>15240</xdr:rowOff>
                  </from>
                  <to>
                    <xdr:col>6</xdr:col>
                    <xdr:colOff>678180</xdr:colOff>
                    <xdr:row>12</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dimension ref="A1:I42"/>
  <sheetViews>
    <sheetView zoomScaleNormal="100" workbookViewId="0"/>
  </sheetViews>
  <sheetFormatPr baseColWidth="10" defaultRowHeight="14.4" x14ac:dyDescent="0.3"/>
  <cols>
    <col min="1" max="1" width="23.5546875" bestFit="1" customWidth="1"/>
    <col min="2" max="2" width="15.6640625" bestFit="1" customWidth="1"/>
    <col min="3" max="3" width="22.109375" bestFit="1" customWidth="1"/>
    <col min="4" max="4" width="19.88671875" customWidth="1"/>
    <col min="5" max="5" width="41" bestFit="1" customWidth="1"/>
    <col min="6" max="6" width="50.5546875" bestFit="1" customWidth="1"/>
    <col min="7" max="7" width="12.88671875" customWidth="1"/>
  </cols>
  <sheetData>
    <row r="1" spans="1:9" x14ac:dyDescent="0.3">
      <c r="A1" t="s">
        <v>3</v>
      </c>
      <c r="B1" s="28" t="s">
        <v>25</v>
      </c>
      <c r="C1" s="26"/>
      <c r="D1" s="26"/>
      <c r="E1" s="26"/>
    </row>
    <row r="2" spans="1:9" x14ac:dyDescent="0.3">
      <c r="A2" t="s">
        <v>2</v>
      </c>
      <c r="B2" s="14">
        <f ca="1">TODAY()</f>
        <v>43179</v>
      </c>
      <c r="C2" s="8"/>
      <c r="D2" s="8"/>
      <c r="E2" s="8"/>
    </row>
    <row r="3" spans="1:9" x14ac:dyDescent="0.3">
      <c r="A3" t="s">
        <v>8</v>
      </c>
      <c r="B3" s="26" t="s">
        <v>26</v>
      </c>
      <c r="C3" s="26"/>
      <c r="E3" s="11"/>
    </row>
    <row r="4" spans="1:9" x14ac:dyDescent="0.3">
      <c r="A4" t="s">
        <v>12</v>
      </c>
      <c r="B4" s="26" t="s">
        <v>27</v>
      </c>
      <c r="C4" s="26"/>
      <c r="E4" s="11"/>
    </row>
    <row r="5" spans="1:9" x14ac:dyDescent="0.3">
      <c r="A5" t="s">
        <v>13</v>
      </c>
      <c r="B5" s="26" t="s">
        <v>28</v>
      </c>
      <c r="C5" s="26"/>
      <c r="D5" s="26"/>
      <c r="E5" s="26"/>
    </row>
    <row r="6" spans="1:9" x14ac:dyDescent="0.3">
      <c r="A6" t="s">
        <v>29</v>
      </c>
      <c r="B6" s="26" t="s">
        <v>30</v>
      </c>
      <c r="C6" s="26"/>
      <c r="D6" s="26"/>
      <c r="E6" s="26"/>
    </row>
    <row r="7" spans="1:9" x14ac:dyDescent="0.3">
      <c r="A7" t="s">
        <v>29</v>
      </c>
      <c r="B7" s="26"/>
      <c r="C7" s="26"/>
      <c r="D7" s="8"/>
      <c r="E7" s="8"/>
    </row>
    <row r="8" spans="1:9" x14ac:dyDescent="0.3">
      <c r="A8" t="s">
        <v>29</v>
      </c>
      <c r="B8" s="26"/>
      <c r="C8" s="26"/>
      <c r="D8" s="8"/>
      <c r="E8" s="8"/>
    </row>
    <row r="11" spans="1:9" x14ac:dyDescent="0.3">
      <c r="A11" s="13" t="s">
        <v>19</v>
      </c>
      <c r="B11" s="13" t="s">
        <v>20</v>
      </c>
      <c r="C11" s="13" t="s">
        <v>21</v>
      </c>
      <c r="D11" s="13" t="s">
        <v>22</v>
      </c>
      <c r="E11" s="13" t="s">
        <v>23</v>
      </c>
      <c r="F11" s="13" t="s">
        <v>24</v>
      </c>
      <c r="G11" s="13" t="s">
        <v>0</v>
      </c>
      <c r="H11" s="13" t="s">
        <v>2</v>
      </c>
    </row>
    <row r="12" spans="1:9" x14ac:dyDescent="0.3">
      <c r="B12" t="s">
        <v>31</v>
      </c>
      <c r="C12" t="s">
        <v>32</v>
      </c>
      <c r="D12" t="b">
        <v>0</v>
      </c>
      <c r="F12" t="s">
        <v>33</v>
      </c>
    </row>
    <row r="13" spans="1:9" x14ac:dyDescent="0.3">
      <c r="B13" t="s">
        <v>31</v>
      </c>
      <c r="C13" t="s">
        <v>32</v>
      </c>
      <c r="D13" t="b">
        <v>0</v>
      </c>
      <c r="F13" t="s">
        <v>33</v>
      </c>
    </row>
    <row r="14" spans="1:9" x14ac:dyDescent="0.3">
      <c r="B14" t="s">
        <v>31</v>
      </c>
      <c r="C14" t="s">
        <v>32</v>
      </c>
      <c r="D14" t="b">
        <v>0</v>
      </c>
      <c r="F14" t="s">
        <v>33</v>
      </c>
    </row>
    <row r="16" spans="1:9" x14ac:dyDescent="0.3">
      <c r="B16" t="s">
        <v>31</v>
      </c>
      <c r="C16" t="s">
        <v>34</v>
      </c>
      <c r="D16" t="b">
        <v>0</v>
      </c>
      <c r="E16" s="15"/>
      <c r="F16" s="16"/>
      <c r="G16" s="8"/>
      <c r="H16" s="8"/>
      <c r="I16" s="8"/>
    </row>
    <row r="17" spans="2:9" x14ac:dyDescent="0.3">
      <c r="B17" t="s">
        <v>31</v>
      </c>
      <c r="C17" t="s">
        <v>35</v>
      </c>
      <c r="D17" t="b">
        <v>0</v>
      </c>
      <c r="E17" s="15"/>
      <c r="F17" s="16"/>
      <c r="G17" s="8"/>
      <c r="H17" s="8"/>
      <c r="I17" s="8"/>
    </row>
    <row r="18" spans="2:9" x14ac:dyDescent="0.3">
      <c r="B18" t="s">
        <v>31</v>
      </c>
      <c r="C18" t="s">
        <v>36</v>
      </c>
      <c r="D18" t="b">
        <v>1</v>
      </c>
      <c r="E18" s="15"/>
      <c r="F18" s="16"/>
      <c r="G18" s="8"/>
      <c r="H18" s="8"/>
      <c r="I18" s="8"/>
    </row>
    <row r="19" spans="2:9" x14ac:dyDescent="0.3">
      <c r="B19" t="s">
        <v>31</v>
      </c>
      <c r="C19" t="s">
        <v>36</v>
      </c>
      <c r="D19" t="b">
        <v>1</v>
      </c>
      <c r="E19" s="15"/>
      <c r="F19" s="16"/>
      <c r="G19" s="8"/>
      <c r="H19" s="8"/>
      <c r="I19" s="8"/>
    </row>
    <row r="20" spans="2:9" x14ac:dyDescent="0.3">
      <c r="E20" s="15"/>
      <c r="F20" s="16"/>
      <c r="G20" s="8"/>
      <c r="H20" s="8"/>
      <c r="I20" s="8"/>
    </row>
    <row r="21" spans="2:9" x14ac:dyDescent="0.3">
      <c r="B21" t="s">
        <v>31</v>
      </c>
      <c r="C21" t="s">
        <v>37</v>
      </c>
      <c r="D21" t="b">
        <v>0</v>
      </c>
      <c r="F21" s="16"/>
      <c r="G21" s="8"/>
      <c r="H21" s="8"/>
      <c r="I21" s="8"/>
    </row>
    <row r="22" spans="2:9" x14ac:dyDescent="0.3">
      <c r="B22" t="s">
        <v>31</v>
      </c>
      <c r="C22" t="s">
        <v>37</v>
      </c>
      <c r="D22" t="b">
        <v>0</v>
      </c>
      <c r="F22" s="16"/>
      <c r="G22" s="8"/>
      <c r="H22" s="8"/>
      <c r="I22" s="8"/>
    </row>
    <row r="23" spans="2:9" x14ac:dyDescent="0.3">
      <c r="B23" t="s">
        <v>31</v>
      </c>
      <c r="C23" t="s">
        <v>37</v>
      </c>
      <c r="D23" t="b">
        <v>0</v>
      </c>
      <c r="F23" s="16"/>
      <c r="G23" s="8"/>
      <c r="H23" s="8"/>
      <c r="I23" s="8"/>
    </row>
    <row r="24" spans="2:9" x14ac:dyDescent="0.3">
      <c r="F24" s="16"/>
      <c r="G24" s="8"/>
      <c r="H24" s="8"/>
      <c r="I24" s="8"/>
    </row>
    <row r="25" spans="2:9" x14ac:dyDescent="0.3">
      <c r="B25" t="s">
        <v>31</v>
      </c>
      <c r="C25" t="s">
        <v>38</v>
      </c>
      <c r="D25" t="b">
        <v>1</v>
      </c>
      <c r="E25" s="15"/>
      <c r="F25" t="s">
        <v>39</v>
      </c>
    </row>
    <row r="26" spans="2:9" x14ac:dyDescent="0.3">
      <c r="B26" t="s">
        <v>31</v>
      </c>
      <c r="C26" t="s">
        <v>38</v>
      </c>
      <c r="D26" t="b">
        <v>1</v>
      </c>
      <c r="E26" s="15"/>
      <c r="F26" t="s">
        <v>39</v>
      </c>
    </row>
    <row r="27" spans="2:9" x14ac:dyDescent="0.3">
      <c r="B27" t="s">
        <v>31</v>
      </c>
      <c r="C27" t="s">
        <v>38</v>
      </c>
      <c r="D27" t="b">
        <v>1</v>
      </c>
      <c r="E27" s="15"/>
      <c r="F27" t="s">
        <v>39</v>
      </c>
    </row>
    <row r="28" spans="2:9" x14ac:dyDescent="0.3">
      <c r="E28" s="15"/>
    </row>
    <row r="29" spans="2:9" x14ac:dyDescent="0.3">
      <c r="B29" t="s">
        <v>31</v>
      </c>
      <c r="C29" t="s">
        <v>40</v>
      </c>
      <c r="D29" t="b">
        <v>1</v>
      </c>
      <c r="E29" s="15"/>
    </row>
    <row r="30" spans="2:9" x14ac:dyDescent="0.3">
      <c r="B30" t="s">
        <v>31</v>
      </c>
      <c r="C30" t="s">
        <v>40</v>
      </c>
      <c r="D30" t="b">
        <v>1</v>
      </c>
      <c r="E30" s="15"/>
    </row>
    <row r="31" spans="2:9" x14ac:dyDescent="0.3">
      <c r="B31" t="s">
        <v>31</v>
      </c>
      <c r="C31" t="s">
        <v>40</v>
      </c>
      <c r="D31" t="b">
        <v>1</v>
      </c>
      <c r="E31" s="15"/>
    </row>
    <row r="32" spans="2:9" x14ac:dyDescent="0.3">
      <c r="E32" s="15"/>
    </row>
    <row r="33" spans="2:5" x14ac:dyDescent="0.3">
      <c r="B33" t="s">
        <v>41</v>
      </c>
      <c r="C33" t="s">
        <v>40</v>
      </c>
      <c r="D33" t="b">
        <v>1</v>
      </c>
      <c r="E33" s="15"/>
    </row>
    <row r="34" spans="2:5" x14ac:dyDescent="0.3">
      <c r="B34" t="s">
        <v>41</v>
      </c>
      <c r="C34" t="s">
        <v>42</v>
      </c>
      <c r="D34" t="b">
        <v>1</v>
      </c>
      <c r="E34" s="15"/>
    </row>
    <row r="35" spans="2:5" x14ac:dyDescent="0.3">
      <c r="B35" t="s">
        <v>41</v>
      </c>
      <c r="C35" t="s">
        <v>43</v>
      </c>
      <c r="D35" t="b">
        <v>1</v>
      </c>
      <c r="E35" s="15"/>
    </row>
    <row r="36" spans="2:5" x14ac:dyDescent="0.3">
      <c r="E36" s="15"/>
    </row>
    <row r="37" spans="2:5" x14ac:dyDescent="0.3">
      <c r="B37" t="s">
        <v>44</v>
      </c>
      <c r="C37" t="s">
        <v>45</v>
      </c>
      <c r="D37" t="b">
        <v>0</v>
      </c>
    </row>
    <row r="38" spans="2:5" x14ac:dyDescent="0.3">
      <c r="B38" t="s">
        <v>44</v>
      </c>
      <c r="C38" t="s">
        <v>45</v>
      </c>
      <c r="D38" t="b">
        <v>0</v>
      </c>
    </row>
    <row r="39" spans="2:5" x14ac:dyDescent="0.3">
      <c r="B39" t="s">
        <v>44</v>
      </c>
      <c r="C39" t="s">
        <v>45</v>
      </c>
      <c r="D39" t="b">
        <v>0</v>
      </c>
    </row>
    <row r="40" spans="2:5" x14ac:dyDescent="0.3">
      <c r="E40" s="17"/>
    </row>
    <row r="42" spans="2:5" x14ac:dyDescent="0.3">
      <c r="B42" t="s">
        <v>46</v>
      </c>
      <c r="C42" t="s">
        <v>24</v>
      </c>
      <c r="D42" t="b">
        <v>0</v>
      </c>
    </row>
  </sheetData>
  <autoFilter ref="B11:G11"/>
  <mergeCells count="9">
    <mergeCell ref="B7:C7"/>
    <mergeCell ref="B8:C8"/>
    <mergeCell ref="B1:E1"/>
    <mergeCell ref="B3:C3"/>
    <mergeCell ref="B4:C4"/>
    <mergeCell ref="B5:C5"/>
    <mergeCell ref="D5:E5"/>
    <mergeCell ref="B6:C6"/>
    <mergeCell ref="D6:E6"/>
  </mergeCells>
  <dataValidations count="1">
    <dataValidation type="list" allowBlank="1" showInputMessage="1" showErrorMessage="1" sqref="B6:C8">
      <formula1>MispTagChoice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reateNewEvent">
                <anchor moveWithCells="1" sizeWithCells="1">
                  <from>
                    <xdr:col>4</xdr:col>
                    <xdr:colOff>342900</xdr:colOff>
                    <xdr:row>0</xdr:row>
                    <xdr:rowOff>30480</xdr:rowOff>
                  </from>
                  <to>
                    <xdr:col>7</xdr:col>
                    <xdr:colOff>0</xdr:colOff>
                    <xdr:row>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About!$E$59:$E$61</xm:f>
          </x14:formula1>
          <xm:sqref>B3:C3</xm:sqref>
        </x14:dataValidation>
        <x14:dataValidation type="list" allowBlank="1" showInputMessage="1" showErrorMessage="1">
          <x14:formula1>
            <xm:f>About!$E$62:$E$65</xm:f>
          </x14:formula1>
          <xm:sqref>B4:C4</xm:sqref>
        </x14:dataValidation>
        <x14:dataValidation type="list" allowBlank="1" showInputMessage="1" showErrorMessage="1">
          <x14:formula1>
            <xm:f>About!$E$55:$E$57</xm:f>
          </x14:formula1>
          <xm:sqref>B5:C5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Overview</vt:lpstr>
      <vt:lpstr>About</vt:lpstr>
      <vt:lpstr>Template</vt:lpstr>
      <vt:lpstr>Create Event</vt:lpstr>
      <vt:lpstr>'Create Event'!AttributeHeaders</vt:lpstr>
      <vt:lpstr>AttributeHeaders</vt:lpstr>
      <vt:lpstr>dp_Analysis</vt:lpstr>
      <vt:lpstr>dp_Distribution</vt:lpstr>
      <vt:lpstr>dp_ThreatLevel</vt:lpstr>
      <vt:lpstr>MispTagChoice</vt:lpstr>
      <vt:lpstr>MispTagHeaders</vt:lpstr>
      <vt:lpstr>Overview_headers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2018-03-20T11:26:51Z</dcterms:created>
  <dcterms:modified xsi:type="dcterms:W3CDTF">2018-03-20T12:13:19Z</dcterms:modified>
</cp:coreProperties>
</file>